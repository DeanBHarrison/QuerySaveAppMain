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rrisonde\source\repos\QuerySaveApp\"/>
    </mc:Choice>
  </mc:AlternateContent>
  <xr:revisionPtr revIDLastSave="0" documentId="8_{827D48D7-DD26-4B6D-AB73-73B6D37D47A3}" xr6:coauthVersionLast="47" xr6:coauthVersionMax="47" xr10:uidLastSave="{00000000-0000-0000-0000-000000000000}"/>
  <bookViews>
    <workbookView xWindow="-28920" yWindow="-120" windowWidth="29040" windowHeight="15840" tabRatio="593" xr2:uid="{00000000-000D-0000-FFFF-FFFF00000000}"/>
  </bookViews>
  <sheets>
    <sheet name="Email_Generation" sheetId="1" r:id="rId1"/>
    <sheet name="DB_TO_EXCEL" sheetId="3" r:id="rId2"/>
    <sheet name="Email_List" sheetId="6" r:id="rId3"/>
    <sheet name="Dates" sheetId="2" r:id="rId4"/>
    <sheet name="Selections" sheetId="5" state="hidden" r:id="rId5"/>
    <sheet name="SQL" sheetId="4" state="hidden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4" i="3" l="1"/>
  <c r="O2" i="2" l="1"/>
  <c r="J23" i="1" l="1"/>
  <c r="J22" i="1"/>
  <c r="J21" i="1"/>
  <c r="J14" i="1"/>
  <c r="N22" i="1" l="1"/>
  <c r="N23" i="1"/>
  <c r="N24" i="1"/>
  <c r="N25" i="1"/>
  <c r="N26" i="1"/>
  <c r="N27" i="1"/>
  <c r="N21" i="1"/>
  <c r="K23" i="3" l="1"/>
  <c r="K22" i="3"/>
  <c r="K21" i="3"/>
  <c r="K20" i="3"/>
  <c r="K19" i="3"/>
  <c r="K27" i="3"/>
  <c r="K18" i="3"/>
  <c r="K17" i="3"/>
  <c r="K16" i="3"/>
  <c r="K26" i="3"/>
  <c r="K14" i="3"/>
  <c r="K13" i="3"/>
  <c r="K12" i="3"/>
  <c r="K11" i="3"/>
  <c r="K10" i="3"/>
  <c r="K9" i="3"/>
  <c r="K8" i="3"/>
  <c r="K7" i="3"/>
  <c r="K6" i="3"/>
  <c r="K5" i="3"/>
  <c r="K4" i="3"/>
  <c r="K3" i="3"/>
  <c r="N32" i="1"/>
  <c r="N31" i="1"/>
  <c r="N30" i="1"/>
  <c r="N29" i="1"/>
  <c r="N28" i="1"/>
  <c r="N19" i="1"/>
  <c r="N18" i="1"/>
  <c r="N17" i="1"/>
  <c r="N11" i="1"/>
  <c r="N10" i="1"/>
  <c r="N8" i="1"/>
  <c r="J16" i="1"/>
  <c r="B1" i="1" l="1"/>
  <c r="J10" i="2" l="1"/>
  <c r="M10" i="2"/>
  <c r="N12" i="2" s="1"/>
  <c r="I2" i="2"/>
  <c r="K12" i="2" l="1"/>
  <c r="J36" i="1" s="1"/>
  <c r="K13" i="2"/>
  <c r="J35" i="1" s="1"/>
  <c r="K14" i="2"/>
  <c r="N14" i="2"/>
  <c r="N13" i="2"/>
  <c r="J34" i="1" l="1"/>
  <c r="J33" i="1"/>
  <c r="J31" i="1"/>
  <c r="J32" i="1"/>
  <c r="J30" i="1"/>
  <c r="J28" i="1"/>
  <c r="J29" i="1"/>
  <c r="J27" i="1"/>
  <c r="R3" i="2"/>
  <c r="R5" i="2" s="1"/>
  <c r="R2" i="2"/>
  <c r="L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</authors>
  <commentList>
    <comment ref="C2" authorId="0" shapeId="0" xr:uid="{9DB15DFE-47EA-414F-BA91-6BB8EC04B907}">
      <text>
        <r>
          <rPr>
            <sz val="9"/>
            <color indexed="81"/>
            <rFont val="Tahoma"/>
            <family val="2"/>
          </rPr>
          <t xml:space="preserve">Enter Report Name 
</t>
        </r>
      </text>
    </comment>
    <comment ref="D2" authorId="0" shapeId="0" xr:uid="{5DCEBF71-49AE-4655-881B-7E9551D616BA}">
      <text>
        <r>
          <rPr>
            <b/>
            <sz val="9"/>
            <color indexed="81"/>
            <rFont val="Tahoma"/>
            <family val="2"/>
          </rPr>
          <t>Where is file located?</t>
        </r>
      </text>
    </comment>
    <comment ref="E2" authorId="0" shapeId="0" xr:uid="{4123C9C1-F114-4A8B-BD46-E1FB2CCB7DA7}">
      <text>
        <r>
          <rPr>
            <b/>
            <sz val="9"/>
            <color indexed="81"/>
            <rFont val="Tahoma"/>
            <family val="2"/>
          </rPr>
          <t>What is the File Name ?</t>
        </r>
      </text>
    </comment>
    <comment ref="F2" authorId="0" shapeId="0" xr:uid="{766E1D1C-787E-42E5-BAF0-55C1B91A1E3B}">
      <text>
        <r>
          <rPr>
            <b/>
            <sz val="9"/>
            <color indexed="81"/>
            <rFont val="Tahoma"/>
            <family val="2"/>
          </rPr>
          <t>What is The File Extension?</t>
        </r>
      </text>
    </comment>
    <comment ref="G2" authorId="0" shapeId="0" xr:uid="{4F4BA310-FC91-4E3A-936F-EB50565F8C46}">
      <text>
        <r>
          <rPr>
            <sz val="9"/>
            <color indexed="81"/>
            <rFont val="Tahoma"/>
            <family val="2"/>
          </rPr>
          <t xml:space="preserve">Do You want to Generate Email for this Report?
</t>
        </r>
      </text>
    </comment>
    <comment ref="H2" authorId="0" shapeId="0" xr:uid="{FD71BFEB-213B-4A92-8251-B9AD91D7E9E7}">
      <text>
        <r>
          <rPr>
            <sz val="9"/>
            <color indexed="81"/>
            <rFont val="Tahoma"/>
            <family val="2"/>
          </rPr>
          <t xml:space="preserve">Select Email List Name from Drop Down.
</t>
        </r>
      </text>
    </comment>
    <comment ref="I2" authorId="0" shapeId="0" xr:uid="{E7D618DA-F23F-4FFB-8450-1BA545D7A58A}">
      <text>
        <r>
          <rPr>
            <b/>
            <sz val="9"/>
            <color indexed="81"/>
            <rFont val="Tahoma"/>
            <family val="2"/>
          </rPr>
          <t>If Custom Subject is Required Select "Y"
Default Subject = Report Name + Current Date</t>
        </r>
      </text>
    </comment>
    <comment ref="J2" authorId="0" shapeId="0" xr:uid="{A6B1A364-D765-49CC-A40C-04EDA413F243}">
      <text>
        <r>
          <rPr>
            <b/>
            <sz val="9"/>
            <color indexed="81"/>
            <rFont val="Tahoma"/>
            <family val="2"/>
          </rPr>
          <t xml:space="preserve">Enter Your Subject. Feel Free to use Excel Formulas
</t>
        </r>
      </text>
    </comment>
    <comment ref="K2" authorId="0" shapeId="0" xr:uid="{F2E6DC1A-66D1-49BF-A704-0894D3230582}">
      <text>
        <r>
          <rPr>
            <sz val="9"/>
            <color indexed="81"/>
            <rFont val="Tahoma"/>
            <family val="2"/>
          </rPr>
          <t xml:space="preserve">Do You want to Attach Whole Report File ?
</t>
        </r>
      </text>
    </comment>
    <comment ref="L2" authorId="0" shapeId="0" xr:uid="{CCC89DE1-A4E2-48BC-997A-9AB99CF17B7C}">
      <text>
        <r>
          <rPr>
            <sz val="9"/>
            <color indexed="81"/>
            <rFont val="Tahoma"/>
            <family val="2"/>
          </rPr>
          <t xml:space="preserve">Attach File: Does File changing name each day?
HTML Body : Would you like to use specific Prefix / Sufix for HTML Attachement?
</t>
        </r>
      </text>
    </comment>
    <comment ref="M2" authorId="0" shapeId="0" xr:uid="{3BD3D697-641B-4F78-B440-3252D553735E}">
      <text>
        <r>
          <rPr>
            <sz val="9"/>
            <color indexed="81"/>
            <rFont val="Tahoma"/>
            <family val="2"/>
          </rPr>
          <t xml:space="preserve">Setting2 in file name is at the front or end ?
</t>
        </r>
      </text>
    </comment>
    <comment ref="N2" authorId="0" shapeId="0" xr:uid="{18C4D316-F5EE-4694-91B7-9AAA61DA406F}">
      <text>
        <r>
          <rPr>
            <sz val="9"/>
            <color indexed="81"/>
            <rFont val="Tahoma"/>
            <family val="2"/>
          </rPr>
          <t xml:space="preserve">What is the Value in FileName of HTML File or File Attachment ?
</t>
        </r>
      </text>
    </comment>
    <comment ref="O2" authorId="0" shapeId="0" xr:uid="{D211BAC3-1FA8-4878-AC6D-25A388D835CF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Do You Want to Include Text in the body of email?</t>
        </r>
      </text>
    </comment>
    <comment ref="P2" authorId="0" shapeId="0" xr:uid="{0F73737D-85C1-4531-9F2B-C2C9D38EF0BE}">
      <text>
        <r>
          <rPr>
            <b/>
            <sz val="9"/>
            <color indexed="81"/>
            <rFont val="Tahoma"/>
            <family val="2"/>
          </rPr>
          <t>Email Custom Text Line 1</t>
        </r>
      </text>
    </comment>
    <comment ref="Q2" authorId="0" shapeId="0" xr:uid="{EC4C9FF2-ECA0-4EA6-BAF2-8058BC85F9AB}">
      <text>
        <r>
          <rPr>
            <b/>
            <sz val="9"/>
            <color indexed="81"/>
            <rFont val="Tahoma"/>
            <family val="2"/>
          </rPr>
          <t>Email Custom Text Line2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2" authorId="0" shapeId="0" xr:uid="{A1F4BDED-71D3-44CB-8841-3FCA3B307CB2}">
      <text>
        <r>
          <rPr>
            <b/>
            <sz val="9"/>
            <color indexed="81"/>
            <rFont val="Tahoma"/>
            <family val="2"/>
          </rPr>
          <t>Do you want to paste data from spreadsheet to email body?</t>
        </r>
      </text>
    </comment>
    <comment ref="S2" authorId="0" shapeId="0" xr:uid="{AE06AEA5-0E02-41B3-9DD8-432DF06AD93D}">
      <text>
        <r>
          <rPr>
            <b/>
            <sz val="9"/>
            <color indexed="81"/>
            <rFont val="Tahoma"/>
            <family val="2"/>
          </rPr>
          <t>Do you want to attach selected data as a separate file?</t>
        </r>
      </text>
    </comment>
    <comment ref="T2" authorId="0" shapeId="0" xr:uid="{A955EC20-2D75-40BA-AB4A-302965013A50}">
      <text>
        <r>
          <rPr>
            <b/>
            <sz val="9"/>
            <color indexed="81"/>
            <rFont val="Tahoma"/>
            <family val="2"/>
          </rPr>
          <t>Do you want to Close data source after email generation?</t>
        </r>
      </text>
    </comment>
    <comment ref="U2" authorId="0" shapeId="0" xr:uid="{CA7B5E5E-4982-4894-9A0E-1BE98F51873D}">
      <text>
        <r>
          <rPr>
            <b/>
            <sz val="9"/>
            <color indexed="81"/>
            <rFont val="Tahoma"/>
            <family val="2"/>
          </rPr>
          <t>What is the Tab Name where Data Should be Extracted from?</t>
        </r>
      </text>
    </comment>
    <comment ref="V2" authorId="0" shapeId="0" xr:uid="{1823B927-D04C-40B2-B0DA-83A17346110B}">
      <text>
        <r>
          <rPr>
            <b/>
            <sz val="9"/>
            <color indexed="81"/>
            <rFont val="Tahoma"/>
            <family val="2"/>
          </rPr>
          <t>What is the Range of Data that you want to Attach or Paste to Email Body</t>
        </r>
      </text>
    </comment>
    <comment ref="W2" authorId="0" shapeId="0" xr:uid="{054A5C18-0B50-4D5E-9D37-DDC35885A03D}">
      <text>
        <r>
          <rPr>
            <b/>
            <sz val="9"/>
            <color indexed="81"/>
            <rFont val="Tahoma"/>
            <family val="2"/>
          </rPr>
          <t>Do you want to include Report File from row below?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2" authorId="0" shapeId="0" xr:uid="{013825CA-BA9A-425B-84A3-BA0B0CB5DB43}">
      <text>
        <r>
          <rPr>
            <b/>
            <sz val="9"/>
            <color indexed="81"/>
            <rFont val="Tahoma"/>
            <family val="2"/>
          </rPr>
          <t>Do You want to send this email as you or would you like to use different email?</t>
        </r>
      </text>
    </comment>
    <comment ref="Y2" authorId="0" shapeId="0" xr:uid="{41ACB89E-E1B4-4685-BBBF-87EA370B3334}">
      <text>
        <r>
          <rPr>
            <b/>
            <sz val="9"/>
            <color indexed="81"/>
            <rFont val="Tahoma"/>
            <family val="2"/>
          </rPr>
          <t>CAUTION ! 
Do you want to Display Email Before Send off? Or do you want to Automatically send it off ?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</authors>
  <commentList>
    <comment ref="D2" authorId="0" shapeId="0" xr:uid="{76A7E601-B89B-4061-BF2F-3D27C86CD58D}">
      <text>
        <r>
          <rPr>
            <b/>
            <sz val="9"/>
            <color indexed="81"/>
            <rFont val="Tahoma"/>
            <family val="2"/>
          </rPr>
          <t>Where is the file located?</t>
        </r>
      </text>
    </comment>
    <comment ref="E2" authorId="0" shapeId="0" xr:uid="{D7CE121F-7B12-4566-8C64-CDC9935804ED}">
      <text>
        <r>
          <rPr>
            <b/>
            <sz val="9"/>
            <color indexed="81"/>
            <rFont val="Tahoma"/>
            <family val="2"/>
          </rPr>
          <t>What is the FileName</t>
        </r>
      </text>
    </comment>
    <comment ref="F2" authorId="0" shapeId="0" xr:uid="{8042E76D-4E07-45B0-8648-87F4C3D79515}">
      <text>
        <r>
          <rPr>
            <b/>
            <sz val="9"/>
            <color indexed="81"/>
            <rFont val="Tahoma"/>
            <family val="2"/>
          </rPr>
          <t>What is the name of the procedure to run?</t>
        </r>
      </text>
    </comment>
    <comment ref="G2" authorId="0" shapeId="0" xr:uid="{CC680859-3678-49C9-9E10-561640135066}">
      <text>
        <r>
          <rPr>
            <b/>
            <sz val="9"/>
            <color indexed="81"/>
            <rFont val="Tahoma"/>
            <family val="2"/>
          </rPr>
          <t>What is the file extenstion?</t>
        </r>
      </text>
    </comment>
    <comment ref="H2" authorId="0" shapeId="0" xr:uid="{BE0DF665-E744-4F44-B315-1BC8AC0BF511}">
      <text>
        <r>
          <rPr>
            <b/>
            <sz val="9"/>
            <color indexed="81"/>
            <rFont val="Tahoma"/>
            <family val="2"/>
          </rPr>
          <t>Do you want to insert data from Database to file?</t>
        </r>
      </text>
    </comment>
    <comment ref="I2" authorId="0" shapeId="0" xr:uid="{D9386988-A90D-4E9B-96E6-8C3F7305B661}">
      <text>
        <r>
          <rPr>
            <b/>
            <sz val="9"/>
            <color indexed="81"/>
            <rFont val="Tahoma"/>
            <family val="2"/>
          </rPr>
          <t>Do you want to Generate New File or Paste to existing File?</t>
        </r>
      </text>
    </comment>
    <comment ref="J2" authorId="0" shapeId="0" xr:uid="{9056C99F-A340-4028-B851-5F5C57CBA2C7}">
      <text>
        <r>
          <rPr>
            <b/>
            <sz val="9"/>
            <color indexed="81"/>
            <rFont val="Tahoma"/>
            <family val="2"/>
          </rPr>
          <t>If you are creating new file:
choose where in the filename Setting2 should appeare - At the start or at the end?
If No new file is required Select Lookup to use Setting2 value as lookup value.</t>
        </r>
      </text>
    </comment>
    <comment ref="M2" authorId="0" shapeId="0" xr:uid="{8762B746-3DDA-4896-835E-0702297BE1EF}">
      <text>
        <r>
          <rPr>
            <b/>
            <sz val="9"/>
            <color indexed="81"/>
            <rFont val="Tahoma"/>
            <family val="2"/>
          </rPr>
          <t>For Lookup only.
In which column number Date to look for is located?</t>
        </r>
      </text>
    </comment>
    <comment ref="N2" authorId="0" shapeId="0" xr:uid="{03E41635-37DC-439B-91BA-702A88777797}">
      <text>
        <r>
          <rPr>
            <b/>
            <sz val="9"/>
            <color indexed="81"/>
            <rFont val="Tahoma"/>
            <family val="2"/>
          </rPr>
          <t>What is Tab Name where Data Dump is located.</t>
        </r>
      </text>
    </comment>
    <comment ref="O2" authorId="0" shapeId="0" xr:uid="{0A24B0BE-104E-436F-BAA4-CE9AAECEE7F8}">
      <text>
        <r>
          <rPr>
            <b/>
            <sz val="9"/>
            <color indexed="81"/>
            <rFont val="Tahoma"/>
            <family val="2"/>
          </rPr>
          <t>Do you want to Save and Close file after extraction or keep it open to validate data?</t>
        </r>
      </text>
    </comment>
  </commentList>
</comments>
</file>

<file path=xl/sharedStrings.xml><?xml version="1.0" encoding="utf-8"?>
<sst xmlns="http://schemas.openxmlformats.org/spreadsheetml/2006/main" count="3739" uniqueCount="585">
  <si>
    <t>Date</t>
  </si>
  <si>
    <t>Year</t>
  </si>
  <si>
    <t>Week Number - Stock</t>
  </si>
  <si>
    <t>Week Number - Inbound</t>
  </si>
  <si>
    <t>Week Number - Pack Accuracy</t>
  </si>
  <si>
    <t>Week Number - Hour Tracker</t>
  </si>
  <si>
    <t>FirstDayofWeek</t>
  </si>
  <si>
    <t>AsosFirstDayOfWeek</t>
  </si>
  <si>
    <t>AsosReporWeek</t>
  </si>
  <si>
    <t>2020-18</t>
  </si>
  <si>
    <t>2020-19</t>
  </si>
  <si>
    <t>2020-20</t>
  </si>
  <si>
    <t>2020-21</t>
  </si>
  <si>
    <t>2020-22</t>
  </si>
  <si>
    <t>2020-23</t>
  </si>
  <si>
    <t>2020-24</t>
  </si>
  <si>
    <t>2020-25</t>
  </si>
  <si>
    <t>2020-26</t>
  </si>
  <si>
    <t>2020-27</t>
  </si>
  <si>
    <t>2020-28</t>
  </si>
  <si>
    <t>2020-29</t>
  </si>
  <si>
    <t>2020-30</t>
  </si>
  <si>
    <t>2020-31</t>
  </si>
  <si>
    <t>2020-32</t>
  </si>
  <si>
    <t>2020-33</t>
  </si>
  <si>
    <t>2020-34</t>
  </si>
  <si>
    <t>2020-35</t>
  </si>
  <si>
    <t>2020-36</t>
  </si>
  <si>
    <t>2020-37</t>
  </si>
  <si>
    <t>2020-38</t>
  </si>
  <si>
    <t>2020-39</t>
  </si>
  <si>
    <t>2020-40</t>
  </si>
  <si>
    <t>2020-41</t>
  </si>
  <si>
    <t>2020-42</t>
  </si>
  <si>
    <t>2020-43</t>
  </si>
  <si>
    <t>2020-44</t>
  </si>
  <si>
    <t>2020-45</t>
  </si>
  <si>
    <t>2020-46</t>
  </si>
  <si>
    <t>2020-47</t>
  </si>
  <si>
    <t>2020-48</t>
  </si>
  <si>
    <t>2020-49</t>
  </si>
  <si>
    <t>2020-50</t>
  </si>
  <si>
    <t>2020-51</t>
  </si>
  <si>
    <t>2020-52</t>
  </si>
  <si>
    <t>2021-01</t>
  </si>
  <si>
    <t>2021-02</t>
  </si>
  <si>
    <t>2021-03</t>
  </si>
  <si>
    <t>2021-04</t>
  </si>
  <si>
    <t>2021-05</t>
  </si>
  <si>
    <t>2021-06</t>
  </si>
  <si>
    <t>2021-07</t>
  </si>
  <si>
    <t>2021-08</t>
  </si>
  <si>
    <t>2021-09</t>
  </si>
  <si>
    <t>2021-10</t>
  </si>
  <si>
    <t>2021-11</t>
  </si>
  <si>
    <t>2021-12</t>
  </si>
  <si>
    <t>2021-13</t>
  </si>
  <si>
    <t>2021-14</t>
  </si>
  <si>
    <t>2021-15</t>
  </si>
  <si>
    <t>2021-16</t>
  </si>
  <si>
    <t>2021-17</t>
  </si>
  <si>
    <t>2021-18</t>
  </si>
  <si>
    <t>2021-19</t>
  </si>
  <si>
    <t>2021-20</t>
  </si>
  <si>
    <t>2021-21</t>
  </si>
  <si>
    <t>2021-22</t>
  </si>
  <si>
    <t>2021-23</t>
  </si>
  <si>
    <t>2021-24</t>
  </si>
  <si>
    <t>2021-25</t>
  </si>
  <si>
    <t>2021-26</t>
  </si>
  <si>
    <t>2021-27</t>
  </si>
  <si>
    <t>2021-28</t>
  </si>
  <si>
    <t>2021-29</t>
  </si>
  <si>
    <t>2021-30</t>
  </si>
  <si>
    <t>2021-31</t>
  </si>
  <si>
    <t>2021-32</t>
  </si>
  <si>
    <t>2021-33</t>
  </si>
  <si>
    <t>2021-34</t>
  </si>
  <si>
    <t>2021-35</t>
  </si>
  <si>
    <t>2021-36</t>
  </si>
  <si>
    <t>2021-37</t>
  </si>
  <si>
    <t>2021-38</t>
  </si>
  <si>
    <t>2021-39</t>
  </si>
  <si>
    <t>2021-40</t>
  </si>
  <si>
    <t>2021-41</t>
  </si>
  <si>
    <t>2021-42</t>
  </si>
  <si>
    <t>2021-43</t>
  </si>
  <si>
    <t>2021-44</t>
  </si>
  <si>
    <t>2021-45</t>
  </si>
  <si>
    <t>2021-46</t>
  </si>
  <si>
    <t>2021-47</t>
  </si>
  <si>
    <t>2021-48</t>
  </si>
  <si>
    <t>2021-49</t>
  </si>
  <si>
    <t>2021-50</t>
  </si>
  <si>
    <t>2021-51</t>
  </si>
  <si>
    <t>2021-52</t>
  </si>
  <si>
    <t>2022-01</t>
  </si>
  <si>
    <t>2022-02</t>
  </si>
  <si>
    <t>2022-03</t>
  </si>
  <si>
    <t>2022-04</t>
  </si>
  <si>
    <t>2022-05</t>
  </si>
  <si>
    <t>2022-06</t>
  </si>
  <si>
    <t>2022-07</t>
  </si>
  <si>
    <t>2022-08</t>
  </si>
  <si>
    <t>2022-09</t>
  </si>
  <si>
    <t>2022-10</t>
  </si>
  <si>
    <t>2022-11</t>
  </si>
  <si>
    <t>2022-12</t>
  </si>
  <si>
    <t>2022-13</t>
  </si>
  <si>
    <t>2022-14</t>
  </si>
  <si>
    <t>2022-15</t>
  </si>
  <si>
    <t>2022-16</t>
  </si>
  <si>
    <t>2022-17</t>
  </si>
  <si>
    <t>2022-18</t>
  </si>
  <si>
    <t>2022-19</t>
  </si>
  <si>
    <t>2022-20</t>
  </si>
  <si>
    <t>2022-21</t>
  </si>
  <si>
    <t>2022-22</t>
  </si>
  <si>
    <t>2022-23</t>
  </si>
  <si>
    <t>2022-24</t>
  </si>
  <si>
    <t>2022-25</t>
  </si>
  <si>
    <t>2022-26</t>
  </si>
  <si>
    <t>2022-27</t>
  </si>
  <si>
    <t>2022-28</t>
  </si>
  <si>
    <t>2022-29</t>
  </si>
  <si>
    <t>2022-30</t>
  </si>
  <si>
    <t>2022-31</t>
  </si>
  <si>
    <t>2022-32</t>
  </si>
  <si>
    <t>2022-33</t>
  </si>
  <si>
    <t>2022-34</t>
  </si>
  <si>
    <t>2022-35</t>
  </si>
  <si>
    <t>2022-36</t>
  </si>
  <si>
    <t>2022-37</t>
  </si>
  <si>
    <t>2022-38</t>
  </si>
  <si>
    <t>2022-39</t>
  </si>
  <si>
    <t>2022-40</t>
  </si>
  <si>
    <t>2022-41</t>
  </si>
  <si>
    <t>2022-42</t>
  </si>
  <si>
    <t>2022-43</t>
  </si>
  <si>
    <t>2022-44</t>
  </si>
  <si>
    <t>2022-45</t>
  </si>
  <si>
    <t>2022-46</t>
  </si>
  <si>
    <t>2022-47</t>
  </si>
  <si>
    <t>2022-48</t>
  </si>
  <si>
    <t>2022-49</t>
  </si>
  <si>
    <t>2022-50</t>
  </si>
  <si>
    <t>2022-51</t>
  </si>
  <si>
    <t>2022-52</t>
  </si>
  <si>
    <t>2023-01</t>
  </si>
  <si>
    <t>2023-02</t>
  </si>
  <si>
    <t>2023-03</t>
  </si>
  <si>
    <t>2023-04</t>
  </si>
  <si>
    <t>2023-05</t>
  </si>
  <si>
    <t>2023-06</t>
  </si>
  <si>
    <t>2023-07</t>
  </si>
  <si>
    <t>2023-08</t>
  </si>
  <si>
    <t>2023-09</t>
  </si>
  <si>
    <t>2023-10</t>
  </si>
  <si>
    <t>2023-11</t>
  </si>
  <si>
    <t>2023-12</t>
  </si>
  <si>
    <t>2023-13</t>
  </si>
  <si>
    <t>2023-14</t>
  </si>
  <si>
    <t>2023-15</t>
  </si>
  <si>
    <t>2023-16</t>
  </si>
  <si>
    <t>2023-17</t>
  </si>
  <si>
    <t>2023-18</t>
  </si>
  <si>
    <t>AsosWeek</t>
  </si>
  <si>
    <t>Day Name</t>
  </si>
  <si>
    <t>Friday</t>
  </si>
  <si>
    <t>Saturday</t>
  </si>
  <si>
    <t>Sunday</t>
  </si>
  <si>
    <t>Monday</t>
  </si>
  <si>
    <t>Tuesday</t>
  </si>
  <si>
    <t>Wednesday</t>
  </si>
  <si>
    <t>Thursday</t>
  </si>
  <si>
    <t>Archives Year</t>
  </si>
  <si>
    <t>Name</t>
  </si>
  <si>
    <t>Location</t>
  </si>
  <si>
    <t>Procedure</t>
  </si>
  <si>
    <t>Run?</t>
  </si>
  <si>
    <t>ID</t>
  </si>
  <si>
    <t>\\SRVLICHFDFP1\Asos$\</t>
  </si>
  <si>
    <t>FileName</t>
  </si>
  <si>
    <t>Ref</t>
  </si>
  <si>
    <t>gxo.sp_vba_automation_probres_MI037</t>
  </si>
  <si>
    <t>Y</t>
  </si>
  <si>
    <t>gxo.sp_vba_automation_SortationReport_MI036</t>
  </si>
  <si>
    <t>gxo.sp_vba_automation_manually_shipped_orders_MI026</t>
  </si>
  <si>
    <t>gxo.sp_vba_automation_optimisation_MI040</t>
  </si>
  <si>
    <t>gxo.sp_vba_automation_orphan_sku_MI077</t>
  </si>
  <si>
    <t>018 SKU Detail Report</t>
  </si>
  <si>
    <t>N</t>
  </si>
  <si>
    <t>gxo.sp_vba_automation_sku_report_MI018</t>
  </si>
  <si>
    <t>gxo.sp_vba_automation_orders_units_into_wms_RQ005</t>
  </si>
  <si>
    <t>Offsite putaway dwell time</t>
  </si>
  <si>
    <t>gxo.sp_vba_automation_putaway_dwelltime_MI031</t>
  </si>
  <si>
    <t>Lichfield Putaway Report</t>
  </si>
  <si>
    <t>gxo.sp_vba_automation_putaway_extract_MI032</t>
  </si>
  <si>
    <t>gxo.sp_vba_automation_completed_waves_RQ021</t>
  </si>
  <si>
    <t>gxo.sp_vba_automation_pick_volumes_by_location_MI133</t>
  </si>
  <si>
    <t>Orders Packed</t>
  </si>
  <si>
    <t>Units packed</t>
  </si>
  <si>
    <t>Total Number of Restarted Orders</t>
  </si>
  <si>
    <t>Number of Restarted Orders from ProbRes</t>
  </si>
  <si>
    <t>Number of Restarted Units</t>
  </si>
  <si>
    <t>Total Number of Restarted Units from Probres</t>
  </si>
  <si>
    <t>Singles Units Restarted</t>
  </si>
  <si>
    <t>Multis Units Restarted</t>
  </si>
  <si>
    <t>Orders Packed Night Shift</t>
  </si>
  <si>
    <t>Orders Packed Day Shift</t>
  </si>
  <si>
    <t>Orders Packed Afternoon Shift</t>
  </si>
  <si>
    <t>Units Packed Night Shift</t>
  </si>
  <si>
    <t>Units Packed Day Shift</t>
  </si>
  <si>
    <t>Units Packed Afternoon Shift</t>
  </si>
  <si>
    <t>Orders Allocated Into - Probres</t>
  </si>
  <si>
    <t xml:space="preserve">Orders Repicked - Probres </t>
  </si>
  <si>
    <t>Orders Retrived to Pack - Probres</t>
  </si>
  <si>
    <t>Singles Orders Restarted</t>
  </si>
  <si>
    <t>Multis Orders Restarted</t>
  </si>
  <si>
    <t>Orders Pack Rejected</t>
  </si>
  <si>
    <t>Units Pack Rejected</t>
  </si>
  <si>
    <t>Units Allocated Into - Probres</t>
  </si>
  <si>
    <t xml:space="preserve">Units Repicked - Probres </t>
  </si>
  <si>
    <t>Units Retrived to Pack - Probres</t>
  </si>
  <si>
    <t>UNPICKABLE</t>
  </si>
  <si>
    <t>UNSATISFIABLE</t>
  </si>
  <si>
    <t>ABANDONED</t>
  </si>
  <si>
    <t>UNITS IN PICK</t>
  </si>
  <si>
    <t>PACK REJECT</t>
  </si>
  <si>
    <t>QC ISSUE</t>
  </si>
  <si>
    <t>WAIT PROBRES</t>
  </si>
  <si>
    <t>00:00-01:00</t>
  </si>
  <si>
    <t>01:00-02:00</t>
  </si>
  <si>
    <t>02:00-03:00</t>
  </si>
  <si>
    <t>03:00-04:00</t>
  </si>
  <si>
    <t>04:00-05:00</t>
  </si>
  <si>
    <t>05:00-06:00</t>
  </si>
  <si>
    <t>06:00-07:00</t>
  </si>
  <si>
    <t>07:00-08:00</t>
  </si>
  <si>
    <t>08:00-09:00</t>
  </si>
  <si>
    <t>09:00-10:00</t>
  </si>
  <si>
    <t>10:00-11:00</t>
  </si>
  <si>
    <t>11:00-12:00</t>
  </si>
  <si>
    <t>12:00-13:00</t>
  </si>
  <si>
    <t>13:00-14:00</t>
  </si>
  <si>
    <t>14:00-15:00</t>
  </si>
  <si>
    <t>15:00-16:00</t>
  </si>
  <si>
    <t>16:00-17:00</t>
  </si>
  <si>
    <t>17:00-18:00</t>
  </si>
  <si>
    <t>18:00-19:00</t>
  </si>
  <si>
    <t>19:00-20:00</t>
  </si>
  <si>
    <t>20:00-21:00</t>
  </si>
  <si>
    <t>21:00-22:00</t>
  </si>
  <si>
    <t>22:00-23:00</t>
  </si>
  <si>
    <t>23:00-00:00</t>
  </si>
  <si>
    <t>NI Total - Units</t>
  </si>
  <si>
    <t>AM Total - Units</t>
  </si>
  <si>
    <t>PM Total - Units</t>
  </si>
  <si>
    <t>NOM</t>
  </si>
  <si>
    <t>NDD</t>
  </si>
  <si>
    <t>NDDDTS</t>
  </si>
  <si>
    <t>SAME</t>
  </si>
  <si>
    <t>STD</t>
  </si>
  <si>
    <t>STDDTS</t>
  </si>
  <si>
    <t>SAVE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</si>
  <si>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</si>
  <si>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</si>
  <si>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</si>
  <si>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</si>
  <si>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</si>
  <si>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</si>
  <si>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</si>
  <si>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</si>
  <si>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</si>
  <si>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</si>
  <si>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</si>
  <si>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</si>
  <si>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</si>
  <si>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</si>
  <si>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Other</t>
  </si>
  <si>
    <t>MPSTD</t>
  </si>
  <si>
    <t>Domestic</t>
  </si>
  <si>
    <t>International</t>
  </si>
  <si>
    <t>Data_Dump Tab Name</t>
  </si>
  <si>
    <t>DATA</t>
  </si>
  <si>
    <t>Data_Dump</t>
  </si>
  <si>
    <t>data_dump</t>
  </si>
  <si>
    <t>New File</t>
  </si>
  <si>
    <t>Data Dump</t>
  </si>
  <si>
    <t>DATA_DUMP</t>
  </si>
  <si>
    <t>ANOMALY BENCH - SYSTEM ISSUE</t>
  </si>
  <si>
    <t>Stock Adjustments Detail</t>
  </si>
  <si>
    <t>gxo.sp_vba_automation_Stock_Adjustments_Detail_RQ000</t>
  </si>
  <si>
    <t>gxo.sp_vba_automation_site_review_MI017</t>
  </si>
  <si>
    <t>Unsatisfiable and Unpickable List</t>
  </si>
  <si>
    <t>gxo.sp_vba_automation_unsatisfiable_unpickable_list_MI002</t>
  </si>
  <si>
    <t>gxo.sp_vba_automation_fails_archive_MI002</t>
  </si>
  <si>
    <t>MI 037</t>
  </si>
  <si>
    <t>MI 036</t>
  </si>
  <si>
    <t>MI 026</t>
  </si>
  <si>
    <t>MI 041</t>
  </si>
  <si>
    <t>MI 077</t>
  </si>
  <si>
    <t>MI 018</t>
  </si>
  <si>
    <t>RQ 005</t>
  </si>
  <si>
    <t>MI 031</t>
  </si>
  <si>
    <t>MI 032</t>
  </si>
  <si>
    <t>RQ 021</t>
  </si>
  <si>
    <t>MI 133</t>
  </si>
  <si>
    <t>RQ 000</t>
  </si>
  <si>
    <t>MI 017</t>
  </si>
  <si>
    <t>MI 002</t>
  </si>
  <si>
    <t>Unsatisfiable and Unpickable Fails</t>
  </si>
  <si>
    <t>Customer Order Fails</t>
  </si>
  <si>
    <t>Site Review</t>
  </si>
  <si>
    <t>Orphan SKU</t>
  </si>
  <si>
    <t>SKU Detail</t>
  </si>
  <si>
    <t>Orders and Units into WMS</t>
  </si>
  <si>
    <t>Putaway Dwell Time Report</t>
  </si>
  <si>
    <t>Putaway Extract</t>
  </si>
  <si>
    <t>Waves and Workgroups</t>
  </si>
  <si>
    <t>Pick Volumes by Storage Class</t>
  </si>
  <si>
    <t>Selection</t>
  </si>
  <si>
    <t>Problem Resolution</t>
  </si>
  <si>
    <t>Sortation Report</t>
  </si>
  <si>
    <t>Manually Shipped Orders</t>
  </si>
  <si>
    <t>Optimisation Report</t>
  </si>
  <si>
    <t>\\SRVLICHFDFP1\Asos$\Inventory\06.Stock Adjustment Extracts\</t>
  </si>
  <si>
    <t>INTERNAL CHECK</t>
  </si>
  <si>
    <t>GXO INTERNAL 1</t>
  </si>
  <si>
    <t>TO:</t>
  </si>
  <si>
    <t>CC:</t>
  </si>
  <si>
    <t>Tab</t>
  </si>
  <si>
    <t>Outlook_Email_SendOff</t>
  </si>
  <si>
    <t>Subject Start</t>
  </si>
  <si>
    <t>GXO/ASOS Lichfield FC</t>
  </si>
  <si>
    <t>GXOLichfieldMI@gxo.com</t>
  </si>
  <si>
    <t>GXO EXTERNAL 1</t>
  </si>
  <si>
    <t>EXTERNAL LIST</t>
  </si>
  <si>
    <t>Report Data</t>
  </si>
  <si>
    <t>Snapshot</t>
  </si>
  <si>
    <t>Attach
File?</t>
  </si>
  <si>
    <t>Site Review- Daily Dashboard UK</t>
  </si>
  <si>
    <t>F1:G156</t>
  </si>
  <si>
    <t>A1:D50</t>
  </si>
  <si>
    <t>Attach
Next?</t>
  </si>
  <si>
    <t>jean-marcel.latta@asos.com;laura.kentleton@asos.com</t>
  </si>
  <si>
    <t>andrew.thomas002@gxo.com;dean.harrison@gxo.com;ashley.stevenson@asos.com;Chris.Smith@asos.com; anthonyb@ASOS.com; nicholam@asos.com; maisie.vines@asos.com; luke.beckham@asos.com; jonathancolin.huzzard@asos.com</t>
  </si>
  <si>
    <t>Sufix</t>
  </si>
  <si>
    <t>Setting1</t>
  </si>
  <si>
    <t>Setting2</t>
  </si>
  <si>
    <t>Prefix</t>
  </si>
  <si>
    <t>FileExtension</t>
  </si>
  <si>
    <t>xlsx</t>
  </si>
  <si>
    <t>Lookup</t>
  </si>
  <si>
    <t>Line 1</t>
  </si>
  <si>
    <t>Line 2</t>
  </si>
  <si>
    <t>HTML BODY SETTINGS</t>
  </si>
  <si>
    <t>Body?</t>
  </si>
  <si>
    <t>Attach?</t>
  </si>
  <si>
    <t>Sourece Tab Name</t>
  </si>
  <si>
    <t>Range to Copy</t>
  </si>
  <si>
    <t>CUSTOM BODY SETTINGS</t>
  </si>
  <si>
    <t>File
Name
settings</t>
  </si>
  <si>
    <t>File Extension</t>
  </si>
  <si>
    <t>Save and Close?</t>
  </si>
  <si>
    <t>Fail Snapshot</t>
  </si>
  <si>
    <t>FILE LOCATION DATA</t>
  </si>
  <si>
    <t>Good Morning,</t>
  </si>
  <si>
    <t>EMAIL SETTINGS</t>
  </si>
  <si>
    <t>Email List Name</t>
  </si>
  <si>
    <t>Custom Email Subject</t>
  </si>
  <si>
    <t>Subject?</t>
  </si>
  <si>
    <t>Close Source?</t>
  </si>
  <si>
    <t>DATA PASTE &amp; FILE SETTINGS</t>
  </si>
  <si>
    <t>FILE ACCESS SETTINGS</t>
  </si>
  <si>
    <t>.</t>
  </si>
  <si>
    <t>Setting3</t>
  </si>
  <si>
    <t>Use Blank</t>
  </si>
  <si>
    <t>Use Template</t>
  </si>
  <si>
    <t>INTERNAL - FAILS COMMS</t>
  </si>
  <si>
    <t>GXOLichfieldShiftManagers@gxo.com;GXOLichfieldMI@gxo.com;hannah.beavis@gxo.com</t>
  </si>
  <si>
    <t>EXTERNAL - FAIL COMMS</t>
  </si>
  <si>
    <t>zoe.wilcock@asos.com;MatthewR@asos.com;lukbirc@asos.com;lukbirc@asos.com;richard.burdin@gxo.com;logistics@asos.com;logistics@asos.com;ashley.stevenson@asos.com; serviceupdates@asos.com; deliverysolutionsbarnsley@asos.com;incidentmanagement@asos.com;incidentmanagement@asos.com; ServiceOpsLeadership@ASOS.com; nina.s@asos.com;chris.smith@asos.com;philippine.morello@asos.com;mark.dimmock@asos.com; luke.beckham@asos.com;GXOLichfieldMI@gxo.com</t>
  </si>
  <si>
    <t>Customer Order Fails Comms</t>
  </si>
  <si>
    <t>Customer Order Fails Snapshot</t>
  </si>
  <si>
    <t>Report</t>
  </si>
  <si>
    <t>A1:O30</t>
  </si>
  <si>
    <t>Weekly Site Review</t>
  </si>
  <si>
    <t>This Week</t>
  </si>
  <si>
    <t>Previous Week</t>
  </si>
  <si>
    <t>Week Number</t>
  </si>
  <si>
    <t>Date Start</t>
  </si>
  <si>
    <t>Date End</t>
  </si>
  <si>
    <t>Today:</t>
  </si>
  <si>
    <t>Week Ago</t>
  </si>
  <si>
    <t>xlsm</t>
  </si>
  <si>
    <t>Operational Productivity</t>
  </si>
  <si>
    <t>Operational Prods Email</t>
  </si>
  <si>
    <t>A1:L81</t>
  </si>
  <si>
    <t>Barnsley report layout</t>
  </si>
  <si>
    <t>D3:N61</t>
  </si>
  <si>
    <t>Pack Accuracy</t>
  </si>
  <si>
    <t>INTERNAL LIST</t>
  </si>
  <si>
    <t>(Weekly) Site Review-Craig</t>
  </si>
  <si>
    <t>D2:R97</t>
  </si>
  <si>
    <t>(Weekly) Site Review</t>
  </si>
  <si>
    <t>;ben.copson@gxo.com;richard.harvey@gxo.com</t>
  </si>
  <si>
    <t xml:space="preserve">Please find attached Customer Order Fails along with the list for orders in Unsatisfiable / Unpickable state. </t>
  </si>
  <si>
    <t>Daily Fails Comms Archive</t>
  </si>
  <si>
    <t>GXOLichfieldShiftManagers@gxo.com</t>
  </si>
  <si>
    <t>(Weekly) Monday Report</t>
  </si>
  <si>
    <t>A2:B21</t>
  </si>
  <si>
    <t>I2:J20</t>
  </si>
  <si>
    <t>MI 129</t>
  </si>
  <si>
    <t>MI 130</t>
  </si>
  <si>
    <t>Weekly (Craig) Site Review</t>
  </si>
  <si>
    <t>RQ 018</t>
  </si>
  <si>
    <t xml:space="preserve">Weekly (Philippine) Monday Report </t>
  </si>
  <si>
    <t>Monday Morning Report</t>
  </si>
  <si>
    <t>MI 132</t>
  </si>
  <si>
    <t>Weekly Max Records</t>
  </si>
  <si>
    <t>Send As</t>
  </si>
  <si>
    <t>You</t>
  </si>
  <si>
    <t>Display Before Send ?</t>
  </si>
  <si>
    <t>TESTING EMAIL LIST</t>
  </si>
  <si>
    <t>GXOLichfieldMI@gxo.com;craig.ward@gxo.com;sarah.cunningham@asos.com; luke.beckham@asos.com</t>
  </si>
  <si>
    <t xml:space="preserve">FINALISE </t>
  </si>
  <si>
    <t xml:space="preserve">Weekly (Philippine NEW)Monday </t>
  </si>
  <si>
    <t>C1:F39</t>
  </si>
  <si>
    <t>Date Col.No.</t>
  </si>
  <si>
    <t>New
File?</t>
  </si>
  <si>
    <t>FILE DATA &amp; SQL PROCEDURE</t>
  </si>
  <si>
    <t>Unsat and Unpick Fails</t>
  </si>
  <si>
    <t>Generate</t>
  </si>
  <si>
    <t>gxo.sp_picks_from_same_location</t>
  </si>
  <si>
    <t>Picks from same location</t>
  </si>
  <si>
    <t>Picks From Same Location</t>
  </si>
  <si>
    <t>MI 135</t>
  </si>
  <si>
    <t>Weekly Picks from same location</t>
  </si>
  <si>
    <t>Email Tab New</t>
  </si>
  <si>
    <t>Lamin.Jallow@gxo.com; craig.ward@gxo.com; Philip.Bates@gxo.com; sarah.cunningham@asos.com;ben.copson@gxo.com;richard.harvey@gxo.com;nick.clayton@gxo.com</t>
  </si>
  <si>
    <t>GXOLichfieldMI@gxo.com;craig.ward@gxo.com;philippine.morello@asos.com;Chris.Smith@asos.com; mirain.povey@asos.com;luke.beckham@asos.com;ben.copson@gxo.com;richard.harvey@gxo.com;nick.clayton@gxo.com</t>
  </si>
  <si>
    <t>GXOLichfieldMI@gxo.com;Darren.Johnson@ASOS.com;ben.copson@gxo.com;richard.harvey@gxo.com;nick.clayton@gxo.com</t>
  </si>
  <si>
    <t>luke.beckham@asos.com;andrew.thomas002@gxo.com;Philip.Bates@gxo.com;XPOLichfieldShiftManagers@gxo.com; Jake.Green@asos.com;Lamin.Jallow@gxo.com;ben.copson@gxo.com;richard.harvey@gxo.com;nick.clayton@gxo.com</t>
  </si>
  <si>
    <t xml:space="preserve">maisie.vines@asos.com; david.flavell@asos.com;philippine.morello@asos.com; seniorshootopsschedulers@asos.com; nicholam@asos.com; EveHankins@asos.com;chris.smith@asos.com;Philip.Bates@gxo.com;ben.copson@gxo.com;richard.harvey@gxo.com;nick.clayton@gxo.com
</t>
  </si>
  <si>
    <t>Philip.Bates@gxo.com;Chris.Smith@asos.com;GXOLichfieldShiftManagers@gxo.com;ben.copson@gxo.com;richard.harvey@gxo.com;nick.clayton@gxo.com</t>
  </si>
  <si>
    <t>craig.ward@gxo.com;GXOLichfieldShiftManagers@gxo.com;ben.copson@gxo.com;richard.harvey@gxo.com;nick.clayton@gxo.com</t>
  </si>
  <si>
    <t>CCOperationsSupport@asos.com; GXOLichfieldMI@gxo.com;ben.copson@gxo.com;richard.harvey@gxo.com;nick.clayton@gxo.com</t>
  </si>
  <si>
    <t>;ben.copson@gxo.com;richard.harvey@gxo.com;ben.copson@gxo.com;richard.harvey@gxo.com;nick.clayton@gxo.com</t>
  </si>
  <si>
    <t>ken.perritt@gxo.com;GXOLichfieldShiftManagers@gxo.com;kris.chapman@gxo.com;craig.ward@gxo.com;ben.copson@gxo.com;richard.harvey@gxo.com;nick.clayton@gxo.com</t>
  </si>
  <si>
    <t>Philip.Bates@gxo.com;XPOLichfieldShiftManagers@gxo.com;ben.copson@gxo.com;richard.harvey@gxo.com;nick.clayton@gxo.com;Nick Clayton &lt;nick.clayton@gxo.com&gt;</t>
  </si>
  <si>
    <t>GXOLichfieldMI@gxo.com; XPOLichfieldShiftManagers@gxo.com; Philip.Bates@gxo.com; craig.ward@gxo.com;ben.copson@gxo.com;richard.harvey@gxo.com;nick.clayton@gxo.com;Nick Clayton &lt;nick.clayton@gxo.com&gt;</t>
  </si>
  <si>
    <t xml:space="preserve">Weekly (Philippine)Monday </t>
  </si>
  <si>
    <t>A1:Q46</t>
  </si>
  <si>
    <t>MI 136</t>
  </si>
  <si>
    <t>Weekly ASOS Fails Report</t>
  </si>
  <si>
    <t>craig.ward@gxo.com;richard.burdin@gxo.com;ken.perritt@gxo.com;Chris.Smith@asos.com</t>
  </si>
  <si>
    <t>Please Find Attached Weekly ASOS Fails Report</t>
  </si>
  <si>
    <t>GXO ASOS Weekly Fail(Summary)</t>
  </si>
  <si>
    <t>RQ 001</t>
  </si>
  <si>
    <t>Weekly Finance SUMMARY REPORT</t>
  </si>
  <si>
    <t>Please Find Attached Weekly Finance Summary Report</t>
  </si>
  <si>
    <t>B2:F54</t>
  </si>
  <si>
    <t>gxo.sp_vba_automation_weekly_finance_summary_RQ001</t>
  </si>
  <si>
    <t>Order Consolidation</t>
  </si>
  <si>
    <t>Order Consolidation Lichfield</t>
  </si>
  <si>
    <t>Please find attached Order Consolidation report</t>
  </si>
  <si>
    <t>Data_dump</t>
  </si>
  <si>
    <t>gxo.sp_vba_automation_OrderConsolidation</t>
  </si>
  <si>
    <t>craig.ward@gxo.com;ben.copson@gxo.com;ben.copson@gxo.com;richard.harvey@gxo.com;nick.clayton@gxo.com;gemma.bentley@gxo.com;Louise.Copson@gxo.com</t>
  </si>
  <si>
    <t>ken.perritt@gxo.com;craig.ward@gxo.com;GXOLichfieldShiftManagers@gxo.com;Nick Clayton &lt;nick.clayton@gxo.com&gt;; Hannah Beavis &lt;hannah.beavis@gxo.com&gt; ; Rich Harvey &lt;richard.harvey@gxo.com&gt;; philip.bates@gxo.com;gemma.bentley@gxo.com;Louise.Copson@gxo.com</t>
  </si>
  <si>
    <t>GXOLichfieldMI@gxo.com; philippine.morello@asos.com; frederick.vassie@asos.com; alexandra.urveczki@asos.com;alessandro.riggione@asos.com;ben.copson@gxo.com;richard.harvey@gxo.com;nick.clayton@gxo.com;Louise.Copson@gxo.com;gemma.bentley@gxo.com; jonathancolin.huzzard@asos.com</t>
  </si>
  <si>
    <t>Weekly Prob res dwell Lichfield</t>
  </si>
  <si>
    <t>MI 137</t>
  </si>
  <si>
    <t>Prob Res Dwell Lichfield</t>
  </si>
  <si>
    <t>Please find attached Prob Res Dwell Report</t>
  </si>
  <si>
    <t>Prob Res Dwell</t>
  </si>
  <si>
    <t>gxo.sp_vba_prob_res_dwelltimes</t>
  </si>
  <si>
    <t>MI 138</t>
  </si>
  <si>
    <t>Outstanding putaway</t>
  </si>
  <si>
    <t>Outstanding Putaway</t>
  </si>
  <si>
    <t>gxo.sp_vba_inbound_outstanding_putaway</t>
  </si>
  <si>
    <t>MI 139</t>
  </si>
  <si>
    <t>IWT Putaway Dwell</t>
  </si>
  <si>
    <t>gxo.sp_vba_iwt_putaway_dwell</t>
  </si>
  <si>
    <t>Iwt Putaway dwell</t>
  </si>
  <si>
    <t>MI 140</t>
  </si>
  <si>
    <t>Short Ship</t>
  </si>
  <si>
    <t>gxo.sp_vba_short_ship</t>
  </si>
  <si>
    <t>Please Find Attached Problem Resolution Report.</t>
  </si>
  <si>
    <t>Please Find Attached Sortation Report Report.</t>
  </si>
  <si>
    <t>Please Find Attached Manually Shipped Orders Report.</t>
  </si>
  <si>
    <t>Please Find Attached Optimisation Report Report.</t>
  </si>
  <si>
    <t>Please Find Attached Orphan SKU Report.</t>
  </si>
  <si>
    <t>Please Find Attached SKU Detail Report.</t>
  </si>
  <si>
    <t>Please Find Orders and Units into WMS Report.</t>
  </si>
  <si>
    <t>Please Find Attached Putaway Dwell Time Report Report.</t>
  </si>
  <si>
    <t>Please Find Attached Putaway Extract Report.</t>
  </si>
  <si>
    <t>Please Find Attached Waves and Workgroups Report.</t>
  </si>
  <si>
    <t>Please Find Attached Pick Volumes by Storage Class Report.</t>
  </si>
  <si>
    <t>Please Find the Pack Accuracy Report.</t>
  </si>
  <si>
    <t>Please Find Attached Site Review Report.</t>
  </si>
  <si>
    <t>Please Find Attached Customer Order Fails Snapshot Report.</t>
  </si>
  <si>
    <t>Please Find Attached Customer Order Fails Comms Report.</t>
  </si>
  <si>
    <t>Please Find the Operational Productivity Report.</t>
  </si>
  <si>
    <t>Please Find Attached Weekly FC Report WK51</t>
  </si>
  <si>
    <t>Please Find Attached Weekly FC Monday Report WK51</t>
  </si>
  <si>
    <t>Weekly (HR) Monday Report</t>
  </si>
  <si>
    <t>Please Find Attached Weekly FC Max Records Report WK51</t>
  </si>
  <si>
    <t>Please Find Attached Consecutive picks from same location 15-08-2022</t>
  </si>
  <si>
    <t xml:space="preserve">rachael.gough@gxo.com; laura.jarrold@gxo.com; isobel.webster@gxo.com;sarah.huntermarsden@gxo.com;sharon.gill@gxo.com;lauren.hearn@asos.com; calum.holmes@gxo.com;sezen.seferov@asos.com;svitlana.bakhantsova@asos.com </t>
  </si>
  <si>
    <t xml:space="preserve"> GXOLichfieldMI@gxo.com;gemma.bentley@gxo.com;Louise.Copson@gxo.com; jonathancolin.huzzard@asos.com</t>
  </si>
  <si>
    <t xml:space="preserve"> rachael.gough@gxo.com; laura.jarrold@gxo.com;isobel.webster@gxo.com;sharon.gill@gxo.com</t>
  </si>
  <si>
    <t>luke.beckham@asos.com;  rachael.gough@gxo.com; laura.jarrold@gxo.com; isobel.webster@gxo.com; kavita.lal@asos.com; sharon.gill@gxo.com; GXOLichfieldMI@gxo.com</t>
  </si>
  <si>
    <t>GXOLichfieldMI@gxo.com;XPOLichfieldShiftManagers@gxo.com;craig.ward@gxo.com;Chris.Smith@asos.com;Philip.Bates@gxo.com;ben.copson@gxo.com;richard.harvey@gxo.com;nick.clayton@gxo.com</t>
  </si>
  <si>
    <t>rachael.gough@gxo.com;laura.jarrold@gxo.com</t>
  </si>
  <si>
    <t>craig.ward@gxo.com;andrew.thomas002@gxo.com;Philip.Bates@gxo.com;kevin.a.jones@gxo.com;ben.copson@gxo.com;richard.harvey@gxo.com;nick.clayton@gxo.com</t>
  </si>
  <si>
    <t>Philip.Bates@gxo.com;GXOLichfieldMI@gxo.com; richard.harvey@gxo.com;sharon.gill@gxo.com;rachael.gough@gxo.com</t>
  </si>
  <si>
    <t>ken.perritt@xpo.com; deliverysolutionsbarnsley@asos.com;craig.ward@gxo.com;Philip.Bates@gxo.com;zoe.wilcock@asos.com;MatthewR@asos.com;richard.burdin@xpo.com;logistics@asos.com; serviceupdates@asos.com; margaret.nicholas@asos.com;Chris.Smith@asos.com;paul.worsman@xpo.com;mark.dimmock@asos.com; luke.beckham@asos.com;rachael.gough@gxo.com;laura.jarrold@gxo.com;isobel.webster@gxo.com; luke.beckham@asos.com;Jake.green@asos.com</t>
  </si>
  <si>
    <t>ken.perritt@gxo.com;craig.ward@gxo.com;Lamin.Jallow@gxo.com;Philip.Bates@gxo.com;GXOLichfieldShiftManagers@gxo.com;GXOLichfieldFLM@gxo.com;ben.copson@gxo.com;richard.harvey@gxo.com;nick.clayton@gxo.com;laura.jarrold@gxo.com;rachael.gough@gxo.com;isobel.webster@gxo.com;sharon.gill@gxo.com</t>
  </si>
  <si>
    <t>ken.perritt@gxo.com; craig.ward@gxo.com;Lamin.Jallow@gxo.com; Philip.Bates@gxo.com; ben.copson@gxo.com;richard.harvey@gxo.com;nick.clayton@gxo.com;GXOLichfieldShiftManagers@gxo.com;GXOLichfieldFLM@gxo.com</t>
  </si>
  <si>
    <t xml:space="preserve"> rachael.gough@gxo.com; sharon.gill@gxo.com;laura.jarrold@gxo.com;isobel.webster@gxo.com</t>
  </si>
  <si>
    <t xml:space="preserve"> sharon.gill@gxo.com;craig.ward@gxo.com; ben.copson@gxo.com; richard.harvey@gxo.com; nick.clayton@gxo.com; phil.bates@gxo.com</t>
  </si>
  <si>
    <t>Please find attached Outstanding Putaway Report</t>
  </si>
  <si>
    <t>Please find attached IWT Putaway Dwell Time Report</t>
  </si>
  <si>
    <t>Please find attached Short Shipment Report</t>
  </si>
  <si>
    <t>\\SRVLICHFDFP1\Asos$\MI\MI Reporting -  2022-2023\037 Prop res Report\</t>
  </si>
  <si>
    <t>2. Prob Res - Restarted Orders -2022-2023</t>
  </si>
  <si>
    <t>\\SRVLICHFDFP1\Asos$\MI\MI Reporting -  2022-2023\036 Sortation Report\</t>
  </si>
  <si>
    <t>\\SRVLICHFDFP1\Asos$\MI\MI Reporting -  2022-2023\026 Manually Shipped Orders\</t>
  </si>
  <si>
    <t>\\SRVLICHFDFP1\Asos$\MI\MI Reporting -  2022-2023\040 Optimisation report\</t>
  </si>
  <si>
    <t>\\SRVLICHFDFP1\Asos$\MI\MI Reporting -  2022-2023\077 Orphan SKUs Report\</t>
  </si>
  <si>
    <t>\\SRVLICHFDFP1\Asos$\MI\MI Reporting -  2022-2023\018 SKU Detail Report 830\</t>
  </si>
  <si>
    <t>\\SRVLICHFDFP1\Asos$\MI\MI Reporting -  2022-2023\000 REQUESTED REPORTS\005 Luke Bekham - Orders into WMS\</t>
  </si>
  <si>
    <t>\\SRVLICHFDFP1\Asos$\MI\MI Reporting -  2022-2023\031 Putaway Dwell Time Report\</t>
  </si>
  <si>
    <t>\\SRVLICHFDFP1\Asos$\MI\MI Reporting -  2022-2023\032 Putaway Extract\</t>
  </si>
  <si>
    <t>\\SRVLICHFDFP1\Asos$\MI\MI Reporting -  2022-2023\000 REQUESTED REPORTS\021 Chris Smith - Waves and Workgroups\</t>
  </si>
  <si>
    <t>\\SRVLICHFDFP1\Asos$\MI\MI Reporting -  2022-2023\133 Pick Volumes by Storage Class\</t>
  </si>
  <si>
    <t>\\SRVLICHFDFP1\Asos$\MI\MI Reporting -  2022-2023\002 Fails - Daily\</t>
  </si>
  <si>
    <t>\\SRVLICHFDFP1\Asos$\MI\MI Reporting -  2022-2023\002 Fails - Daily\Comms\</t>
  </si>
  <si>
    <t>\\SRVLICHFDFP1\Asos$\MI\MI Reporting -  2022-2023\135 Picks from same location\</t>
  </si>
  <si>
    <t>\\SRVLICHFDFP1\Asos$\MI\MI Reporting -  2022-2023\136 Order Consolidation\</t>
  </si>
  <si>
    <t>\\SRVLICHFDFP1\Asos$\MI\MI Reporting -  2022-2023\137 Prob Res Dwell\</t>
  </si>
  <si>
    <t>\\SRVLICHFDFP1\Asos$\MI\MI Reporting -  2022-2023\138 Oustanding Putaway\</t>
  </si>
  <si>
    <t>\\SRVLICHFDFP1\Asos$\MI\MI Reporting -  2022-2023\139 IWT Putaway Dwell\</t>
  </si>
  <si>
    <t>\\SRVLICHFDFP1\Asos$\MI\MI Reporting -  2022-2023\140 Short Ship\</t>
  </si>
  <si>
    <t>\\SRVLICHFDFP1\Asos$\MI\MI Reporting -  2022-2023\017 Site Review\</t>
  </si>
  <si>
    <t>\\SRVLICHFDFP1\Asos$\MI\MI Reporting -  2022-2023\000 REQUESTED REPORTS\001 Rachael - Weekly summary\</t>
  </si>
  <si>
    <t>Lichfield Sortation Report 2022 - 2023</t>
  </si>
  <si>
    <t>Lichfield Manually Shipped Orders Tracker 2022-2023</t>
  </si>
  <si>
    <t>Optimisation Report 2022-2023</t>
  </si>
  <si>
    <t>Orphan SKU Report 2022 - 2023</t>
  </si>
  <si>
    <t>Orders into WMSV2 2022-2023</t>
  </si>
  <si>
    <t>2. Completed Waves Report SORTATION PICKING 2022-2023</t>
  </si>
  <si>
    <t>\\SRVLICHFDFP1\Asos$\MI\MI Reporting -  2022-2023\000 REQUESTED REPORTS\023 Craig Ward - Restart Order by the Hour\</t>
  </si>
  <si>
    <t>Restarted Order by the Hour</t>
  </si>
  <si>
    <t>RQ 023</t>
  </si>
  <si>
    <t>2. Pick Volumes by Location 2022 - 2023</t>
  </si>
  <si>
    <t>Order Consolidation Lichfield 2022 - 2023</t>
  </si>
  <si>
    <t>Prob Res Dwell Lichfield-2022 - 2023</t>
  </si>
  <si>
    <t>IWT Putaway Dwell_2022 - 2023</t>
  </si>
  <si>
    <t>Short Ship_2022-2023</t>
  </si>
  <si>
    <t>017 Lichfield_Daily_Data_ASOS_2022-2023</t>
  </si>
  <si>
    <t>\\SRVLICHFDFP1\Asos$\MI\MI Reporting -  2022-2023\130 Pack Accuracy\</t>
  </si>
  <si>
    <t>\\SRVLICHFDFP1\Asos$\MI\MI Reporting -  2022-2023\129 Operational Productivity\</t>
  </si>
  <si>
    <t>\\SRVLICHFDFP1\Asos$\MI\MI Reporting -  2022-2023\000 REQUESTED REPORTS\018 Kirsty Suen - Monday Morning Figures\</t>
  </si>
  <si>
    <t>\\SRVLICHFDFP1\Asos$\MI\MI Reporting -  2022-2023\132 Max Records Report\</t>
  </si>
  <si>
    <t>Pack Accuracy 2022-2023 summary</t>
  </si>
  <si>
    <t>Lichfield - Operational Productivity Template 22-23</t>
  </si>
  <si>
    <t>Lichfield Max Records 2022-2023</t>
  </si>
  <si>
    <t>WEEKLY SUMMARY REPORT 2022 - 2023</t>
  </si>
  <si>
    <t>Outstanding Putaway_2022 - 2023</t>
  </si>
  <si>
    <t>dash</t>
  </si>
  <si>
    <t>A1:AQ12</t>
  </si>
  <si>
    <t>craig.ward@gxo.com;Chris.Smith@asos.com;luke.beckham@asos.com;ben.copson@gxo.com;richard.harvey@gxo.com;nick.clayton@gxo.com;sharon.gill@gxo.com;rachael.gough@gxo.com;andrew.thomas@gxo.com;mirain.povey@asos.com;laura.kentleton@asos.com</t>
  </si>
  <si>
    <t>gxo.sp_vba_automation_Restart_Order_by_the_Hour_RQ023</t>
  </si>
  <si>
    <t>2022-09-12</t>
  </si>
  <si>
    <t>Monday Morning Figures</t>
  </si>
  <si>
    <t>B1:DC10</t>
  </si>
  <si>
    <t>A1:DF99</t>
  </si>
  <si>
    <t>C1:L50</t>
  </si>
  <si>
    <t>andrew.thomas002@gxo.com; craig.ward@gxo.com;  XPOLichfieldShiftManagers@gxo.com;Philip.Bates@gxo.com;ben.copson@gxo.com;richard.harvey@gxo.com;nick.clayton@gxo.com;Nick Clayton &lt;nick.clayton@gxo.com&gt;; stefka.apostolova@gxo.com</t>
  </si>
  <si>
    <t>margaret.nicholas@asos.com;ken.perritt@gxo.com; craig.ward@gxo.com;  Philip.Bates@gxo.com;  luke.beckham@asos.com; kavita.lal@asos.com; mags.roberts@asos.com; Chris.Smith@asos.com; jonathancolin.huzzard@asos.com; Philippine.morello@asos.com; Lamin.Jallow@gxo.com; adam.young001@gxo.com; liam.widdowson@gxo.com; Rachael.Crawley@gxo.com; mathew.white@gxo.com; qualityandsupport@asos.com; mikew@asos.com; jonathancolin.huzzard@asos.com; GXOLichfieldMI@gxo.com; Andreea.Nechifor@gxo.com; bence.poczos@gxo.com; daniel.emery@gxo.com; stephanie.perrin@gxo.com; kathryn.jordan@gxo.com; matthew.naylor@gxo.com; charmainec@asos.com;nick.clayton@gxo.com; jo.kiely@asos.com;ben.copson@gxo.com;richard.harvey@gxo.com; jessica.wagstaffe@asos.com;ashley.stevenson@asos.com; mirain.povey@asos.com; ambad@asos.com; Becky.Henderson@ASOS.com; darina.oconnor@asos.com; incidentmanagement@asos.com; josh.ward@asos.com; zoe.wilcock@asos.com; julie.briggs@asos.com; Kamil.Dziuban@asos.com; karen.fraser@asos.com; Lisa.Hay@gxo.com; logistics@asos.com; MatthewR@asos.com; mikew@asos.com; nickb@asos.com; ricky.jassal@asos.com; russell.atkinson@gxo.com; sarahampson@asos.com; selasi.kartey@asos.com; zoe.wilcock@asos.com; XPOLichfieldShiftManagers@gxo.com; andrew.hopkins@asos.com; QualityandSupport@asos.com; XPOLichfieldsystemsofficers@gxo.com;ashley.stevenson@asos.com;ben.copson@gxo.com;richard.harvey@gxo.com;nick.clayton@gxo.com;lauren.hearn@asos.com;stefka.apostolova@gxo.com</t>
  </si>
  <si>
    <t>craig.ward@gxo.com;Chris.Smith@asos.com;luke.beckham@asos.com;ben.copson@gxo.com;richard.harvey@gxo.com;nick.clayton@gxo.com;sharon.gill@gxo.com;rachael.gough@gxo.com;andrew.thomas@gxo.com;isobel.webster@gxo.com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</si>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</sst>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33333"/>
      <name val="Calibri"/>
      <family val="2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1"/>
      <color rgb="FF66FF33"/>
      <name val="Calibri"/>
      <family val="2"/>
      <scheme val="minor"/>
    </font>
    <font>
      <u/>
      <sz val="11"/>
      <color rgb="FFF2C022"/>
      <name val="Calibri"/>
      <family val="2"/>
      <scheme val="minor"/>
    </font>
    <font>
      <sz val="11"/>
      <color rgb="FFF2C022"/>
      <name val="Calibri"/>
      <family val="2"/>
      <scheme val="minor"/>
    </font>
    <font>
      <sz val="11"/>
      <color rgb="FF00B0F0"/>
      <name val="Calibri"/>
      <family val="2"/>
      <scheme val="minor"/>
    </font>
    <font>
      <u/>
      <sz val="11"/>
      <color rgb="FF03A678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sz val="8"/>
      <color rgb="FF66FF33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b/>
      <sz val="10"/>
      <color rgb="FF66FF33"/>
      <name val="Calibri"/>
      <family val="2"/>
      <scheme val="minor"/>
    </font>
    <font>
      <u/>
      <sz val="10"/>
      <color rgb="FF00B050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b/>
      <sz val="10"/>
      <color theme="0" tint="-0.249977111117893"/>
      <name val="Calibri"/>
      <family val="2"/>
      <scheme val="minor"/>
    </font>
    <font>
      <u/>
      <sz val="10"/>
      <color theme="0" tint="-0.249977111117893"/>
      <name val="Calibri"/>
      <family val="2"/>
      <scheme val="minor"/>
    </font>
    <font>
      <b/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2E3033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dashed">
        <color rgb="FF00FF00"/>
      </left>
      <right style="dashed">
        <color rgb="FF00FF00"/>
      </right>
      <top/>
      <bottom/>
      <diagonal/>
    </border>
    <border>
      <left/>
      <right/>
      <top/>
      <bottom style="thin">
        <color rgb="FF00FF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6">
    <xf numFmtId="0" fontId="0" fillId="0" borderId="0" xfId="0"/>
    <xf numFmtId="14" fontId="0" fillId="0" borderId="0" xfId="0" applyNumberFormat="1"/>
    <xf numFmtId="22" fontId="0" fillId="0" borderId="0" xfId="0" applyNumberFormat="1"/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0" fillId="2" borderId="0" xfId="0" applyFill="1"/>
    <xf numFmtId="14" fontId="1" fillId="2" borderId="0" xfId="0" applyNumberFormat="1" applyFont="1" applyFill="1"/>
    <xf numFmtId="1" fontId="1" fillId="3" borderId="0" xfId="0" applyNumberFormat="1" applyFont="1" applyFill="1" applyAlignment="1">
      <alignment horizontal="center"/>
    </xf>
    <xf numFmtId="0" fontId="1" fillId="3" borderId="0" xfId="0" applyFont="1" applyFill="1" applyAlignment="1">
      <alignment horizontal="center"/>
    </xf>
    <xf numFmtId="1" fontId="0" fillId="0" borderId="0" xfId="0" applyNumberFormat="1"/>
    <xf numFmtId="0" fontId="0" fillId="0" borderId="0" xfId="0" applyNumberFormat="1"/>
    <xf numFmtId="0" fontId="3" fillId="4" borderId="0" xfId="0" applyFont="1" applyFill="1"/>
    <xf numFmtId="4" fontId="0" fillId="0" borderId="0" xfId="0" applyNumberFormat="1"/>
    <xf numFmtId="0" fontId="0" fillId="0" borderId="0" xfId="0" applyBorder="1"/>
    <xf numFmtId="0" fontId="0" fillId="0" borderId="0" xfId="0" applyAlignment="1"/>
    <xf numFmtId="0" fontId="3" fillId="4" borderId="0" xfId="0" applyFont="1" applyFill="1" applyAlignment="1"/>
    <xf numFmtId="0" fontId="2" fillId="0" borderId="0" xfId="1" applyAlignment="1"/>
    <xf numFmtId="0" fontId="0" fillId="0" borderId="0" xfId="0" quotePrefix="1" applyAlignment="1"/>
    <xf numFmtId="0" fontId="0" fillId="0" borderId="0" xfId="0" applyFill="1" applyBorder="1"/>
    <xf numFmtId="0" fontId="5" fillId="0" borderId="0" xfId="0" applyFont="1"/>
    <xf numFmtId="14" fontId="5" fillId="0" borderId="0" xfId="0" applyNumberFormat="1" applyFont="1"/>
    <xf numFmtId="0" fontId="5" fillId="2" borderId="0" xfId="0" applyFont="1" applyFill="1"/>
    <xf numFmtId="0" fontId="10" fillId="2" borderId="0" xfId="0" applyFont="1" applyFill="1" applyAlignment="1">
      <alignment horizontal="center"/>
    </xf>
    <xf numFmtId="0" fontId="10" fillId="2" borderId="0" xfId="0" applyFont="1" applyFill="1"/>
    <xf numFmtId="14" fontId="10" fillId="2" borderId="0" xfId="0" applyNumberFormat="1" applyFont="1" applyFill="1"/>
    <xf numFmtId="0" fontId="10" fillId="3" borderId="0" xfId="0" applyFont="1" applyFill="1" applyAlignment="1">
      <alignment horizontal="center"/>
    </xf>
    <xf numFmtId="14" fontId="10" fillId="3" borderId="0" xfId="0" applyNumberFormat="1" applyFont="1" applyFill="1" applyAlignment="1">
      <alignment horizontal="center"/>
    </xf>
    <xf numFmtId="14" fontId="5" fillId="2" borderId="0" xfId="0" applyNumberFormat="1" applyFont="1" applyFill="1"/>
    <xf numFmtId="0" fontId="0" fillId="0" borderId="0" xfId="0" applyBorder="1" applyAlignment="1"/>
    <xf numFmtId="0" fontId="2" fillId="0" borderId="0" xfId="1"/>
    <xf numFmtId="0" fontId="1" fillId="5" borderId="0" xfId="0" applyFont="1" applyFill="1"/>
    <xf numFmtId="0" fontId="1" fillId="5" borderId="0" xfId="0" applyFont="1" applyFill="1" applyBorder="1"/>
    <xf numFmtId="0" fontId="1" fillId="6" borderId="0" xfId="0" applyFont="1" applyFill="1" applyBorder="1"/>
    <xf numFmtId="0" fontId="1" fillId="6" borderId="0" xfId="0" applyFont="1" applyFill="1"/>
    <xf numFmtId="0" fontId="1" fillId="5" borderId="0" xfId="0" applyFont="1" applyFill="1" applyBorder="1" applyAlignment="1">
      <alignment horizontal="center"/>
    </xf>
    <xf numFmtId="0" fontId="13" fillId="5" borderId="0" xfId="1" applyFont="1" applyFill="1" applyBorder="1"/>
    <xf numFmtId="0" fontId="14" fillId="5" borderId="0" xfId="0" applyFont="1" applyFill="1" applyBorder="1"/>
    <xf numFmtId="0" fontId="14" fillId="5" borderId="0" xfId="0" applyFont="1" applyFill="1" applyBorder="1" applyAlignment="1">
      <alignment horizontal="center"/>
    </xf>
    <xf numFmtId="0" fontId="15" fillId="5" borderId="0" xfId="0" applyFont="1" applyFill="1" applyBorder="1"/>
    <xf numFmtId="0" fontId="16" fillId="5" borderId="0" xfId="1" applyFont="1" applyFill="1" applyBorder="1"/>
    <xf numFmtId="0" fontId="18" fillId="5" borderId="0" xfId="0" applyFont="1" applyFill="1" applyBorder="1"/>
    <xf numFmtId="0" fontId="17" fillId="5" borderId="0" xfId="0" applyFont="1" applyFill="1" applyBorder="1"/>
    <xf numFmtId="0" fontId="11" fillId="5" borderId="2" xfId="0" applyFont="1" applyFill="1" applyBorder="1" applyAlignment="1">
      <alignment horizontal="center" vertical="center" wrapText="1"/>
    </xf>
    <xf numFmtId="14" fontId="17" fillId="5" borderId="0" xfId="0" applyNumberFormat="1" applyFont="1" applyFill="1" applyBorder="1"/>
    <xf numFmtId="0" fontId="14" fillId="5" borderId="0" xfId="0" applyFont="1" applyFill="1" applyBorder="1" applyAlignment="1">
      <alignment horizontal="center" vertical="center"/>
    </xf>
    <xf numFmtId="0" fontId="17" fillId="5" borderId="0" xfId="0" applyFont="1" applyFill="1" applyBorder="1" applyAlignment="1">
      <alignment horizontal="center" vertical="center"/>
    </xf>
    <xf numFmtId="0" fontId="17" fillId="5" borderId="0" xfId="0" quotePrefix="1" applyFont="1" applyFill="1" applyBorder="1"/>
    <xf numFmtId="49" fontId="19" fillId="5" borderId="1" xfId="0" applyNumberFormat="1" applyFont="1" applyFill="1" applyBorder="1" applyAlignment="1">
      <alignment horizontal="center" vertical="center" wrapText="1"/>
    </xf>
    <xf numFmtId="0" fontId="20" fillId="5" borderId="0" xfId="0" applyFont="1" applyFill="1" applyBorder="1"/>
    <xf numFmtId="0" fontId="21" fillId="5" borderId="0" xfId="0" applyFont="1" applyFill="1" applyBorder="1"/>
    <xf numFmtId="0" fontId="21" fillId="5" borderId="0" xfId="0" applyFont="1" applyFill="1" applyBorder="1" applyAlignment="1">
      <alignment horizontal="center" vertical="center"/>
    </xf>
    <xf numFmtId="14" fontId="21" fillId="5" borderId="0" xfId="0" applyNumberFormat="1" applyFont="1" applyFill="1" applyBorder="1"/>
    <xf numFmtId="0" fontId="21" fillId="5" borderId="0" xfId="0" applyFont="1" applyFill="1" applyBorder="1" applyAlignment="1">
      <alignment horizontal="center" vertical="center" wrapText="1"/>
    </xf>
    <xf numFmtId="0" fontId="22" fillId="5" borderId="2" xfId="0" applyFont="1" applyFill="1" applyBorder="1" applyAlignment="1">
      <alignment horizontal="center" vertical="center"/>
    </xf>
    <xf numFmtId="0" fontId="22" fillId="5" borderId="2" xfId="0" applyFont="1" applyFill="1" applyBorder="1" applyAlignment="1">
      <alignment vertical="center"/>
    </xf>
    <xf numFmtId="0" fontId="23" fillId="5" borderId="0" xfId="1" applyFont="1" applyFill="1" applyBorder="1"/>
    <xf numFmtId="0" fontId="24" fillId="5" borderId="0" xfId="0" applyFont="1" applyFill="1" applyBorder="1"/>
    <xf numFmtId="0" fontId="24" fillId="5" borderId="0" xfId="0" applyFont="1" applyFill="1" applyBorder="1" applyAlignment="1">
      <alignment horizontal="center" vertical="center" wrapText="1"/>
    </xf>
    <xf numFmtId="0" fontId="25" fillId="5" borderId="0" xfId="0" applyFont="1" applyFill="1" applyBorder="1"/>
    <xf numFmtId="0" fontId="26" fillId="5" borderId="0" xfId="0" applyFont="1" applyFill="1" applyBorder="1"/>
    <xf numFmtId="0" fontId="26" fillId="5" borderId="0" xfId="0" applyFont="1" applyFill="1" applyBorder="1" applyAlignment="1">
      <alignment horizontal="center" vertical="center"/>
    </xf>
    <xf numFmtId="0" fontId="1" fillId="5" borderId="0" xfId="0" applyFont="1" applyFill="1" applyBorder="1" applyAlignment="1">
      <alignment horizontal="center" vertical="center"/>
    </xf>
    <xf numFmtId="0" fontId="27" fillId="5" borderId="0" xfId="0" applyFont="1" applyFill="1" applyBorder="1"/>
    <xf numFmtId="0" fontId="26" fillId="5" borderId="0" xfId="0" applyFont="1" applyFill="1" applyBorder="1" applyAlignment="1">
      <alignment horizontal="center" vertical="center" wrapText="1"/>
    </xf>
    <xf numFmtId="0" fontId="28" fillId="5" borderId="0" xfId="1" applyFont="1" applyFill="1" applyBorder="1"/>
    <xf numFmtId="14" fontId="26" fillId="5" borderId="0" xfId="0" applyNumberFormat="1" applyFont="1" applyFill="1" applyBorder="1"/>
    <xf numFmtId="14" fontId="27" fillId="5" borderId="0" xfId="0" applyNumberFormat="1" applyFont="1" applyFill="1" applyBorder="1"/>
    <xf numFmtId="0" fontId="26" fillId="5" borderId="0" xfId="0" applyFont="1" applyFill="1" applyBorder="1" applyAlignment="1">
      <alignment horizontal="center"/>
    </xf>
    <xf numFmtId="0" fontId="27" fillId="5" borderId="0" xfId="0" applyFont="1" applyFill="1" applyBorder="1" applyAlignment="1">
      <alignment horizontal="center"/>
    </xf>
    <xf numFmtId="0" fontId="17" fillId="7" borderId="0" xfId="0" quotePrefix="1" applyFont="1" applyFill="1" applyBorder="1"/>
    <xf numFmtId="0" fontId="27" fillId="5" borderId="0" xfId="0" applyFont="1" applyFill="1" applyBorder="1" applyAlignment="1">
      <alignment horizontal="center" vertical="center"/>
    </xf>
    <xf numFmtId="0" fontId="10" fillId="6" borderId="0" xfId="0" applyFont="1" applyFill="1"/>
    <xf numFmtId="0" fontId="2" fillId="5" borderId="0" xfId="1" applyFill="1" applyBorder="1"/>
    <xf numFmtId="0" fontId="0" fillId="0" borderId="0" xfId="0" applyAlignment="1">
      <alignment wrapText="1"/>
    </xf>
    <xf numFmtId="0" fontId="22" fillId="5" borderId="2" xfId="0" applyFont="1" applyFill="1" applyBorder="1" applyAlignment="1">
      <alignment horizontal="center" vertical="center"/>
    </xf>
    <xf numFmtId="0" fontId="12" fillId="5" borderId="2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223">
    <dxf>
      <font>
        <b/>
        <i val="0"/>
        <color theme="0"/>
      </font>
      <fill>
        <patternFill>
          <bgColor rgb="FF026649"/>
        </patternFill>
      </fill>
    </dxf>
    <dxf>
      <font>
        <b/>
        <i val="0"/>
        <color theme="0"/>
      </font>
      <fill>
        <patternFill>
          <bgColor rgb="FFB00820"/>
        </patternFill>
      </fill>
    </dxf>
    <dxf>
      <font>
        <color rgb="FFFF99CC"/>
      </font>
      <fill>
        <patternFill>
          <bgColor rgb="FF2E3033"/>
        </patternFill>
      </fill>
    </dxf>
    <dxf>
      <font>
        <color rgb="FFCC99FF"/>
      </font>
      <fill>
        <patternFill>
          <bgColor rgb="FF2E3033"/>
        </patternFill>
      </fill>
    </dxf>
    <dxf>
      <font>
        <b/>
        <i val="0"/>
        <color rgb="FFF2C022"/>
      </font>
      <fill>
        <patternFill patternType="solid">
          <bgColor rgb="FF2E3033"/>
        </patternFill>
      </fill>
    </dxf>
    <dxf>
      <font>
        <color theme="0" tint="-0.34998626667073579"/>
      </font>
      <fill>
        <patternFill>
          <bgColor rgb="FF2E3033"/>
        </patternFill>
      </fill>
    </dxf>
    <dxf>
      <font>
        <color theme="1" tint="0.499984740745262"/>
      </font>
    </dxf>
    <dxf>
      <font>
        <b/>
        <i val="0"/>
        <color theme="0"/>
      </font>
      <fill>
        <patternFill>
          <bgColor rgb="FF026649"/>
        </patternFill>
      </fill>
    </dxf>
    <dxf>
      <font>
        <b/>
        <i val="0"/>
        <color theme="0"/>
      </font>
      <fill>
        <patternFill>
          <bgColor rgb="FFB00820"/>
        </patternFill>
      </fill>
    </dxf>
    <dxf>
      <font>
        <color rgb="FF33CCFF"/>
      </font>
    </dxf>
    <dxf>
      <font>
        <b/>
        <i val="0"/>
        <color rgb="FFF2C022"/>
      </font>
    </dxf>
    <dxf>
      <font>
        <color rgb="FFFF99CC"/>
      </font>
      <fill>
        <patternFill>
          <bgColor rgb="FF2E3033"/>
        </patternFill>
      </fill>
    </dxf>
    <dxf>
      <font>
        <color rgb="FFCC99FF"/>
      </font>
      <fill>
        <patternFill>
          <bgColor rgb="FF2E3033"/>
        </patternFill>
      </fill>
    </dxf>
    <dxf>
      <font>
        <color theme="1" tint="0.499984740745262"/>
      </font>
    </dxf>
    <dxf>
      <font>
        <color rgb="FF33CCFF"/>
      </font>
    </dxf>
    <dxf>
      <font>
        <b/>
        <i val="0"/>
        <color rgb="FFF2C022"/>
      </font>
    </dxf>
    <dxf>
      <font>
        <color theme="1" tint="0.499984740745262"/>
      </font>
    </dxf>
    <dxf>
      <font>
        <color rgb="FF33CCFF"/>
      </font>
    </dxf>
    <dxf>
      <font>
        <b/>
        <i val="0"/>
        <color rgb="FFF2C022"/>
      </font>
    </dxf>
    <dxf>
      <font>
        <b/>
        <i val="0"/>
        <color rgb="FFF2C022"/>
      </font>
      <fill>
        <patternFill patternType="solid">
          <bgColor rgb="FF2E3033"/>
        </patternFill>
      </fill>
    </dxf>
    <dxf>
      <font>
        <color theme="0" tint="-0.34998626667073579"/>
      </font>
      <fill>
        <patternFill>
          <bgColor rgb="FF2E3033"/>
        </patternFill>
      </fill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b/>
        <i val="0"/>
        <color theme="0"/>
      </font>
      <fill>
        <patternFill>
          <bgColor rgb="FF026649"/>
        </patternFill>
      </fill>
    </dxf>
    <dxf>
      <font>
        <b/>
        <i val="0"/>
        <color theme="0"/>
      </font>
      <fill>
        <patternFill>
          <bgColor rgb="FFB00820"/>
        </patternFill>
      </fill>
    </dxf>
    <dxf>
      <font>
        <color rgb="FF33CCFF"/>
      </font>
    </dxf>
    <dxf>
      <font>
        <b/>
        <i val="0"/>
        <color rgb="FFF2C022"/>
      </font>
    </dxf>
    <dxf>
      <font>
        <color rgb="FFFF99CC"/>
      </font>
      <fill>
        <patternFill>
          <bgColor rgb="FF2E3033"/>
        </patternFill>
      </fill>
    </dxf>
    <dxf>
      <font>
        <color rgb="FFCC99FF"/>
      </font>
      <fill>
        <patternFill>
          <bgColor rgb="FF2E3033"/>
        </patternFill>
      </fill>
    </dxf>
    <dxf>
      <font>
        <color theme="1" tint="0.499984740745262"/>
      </font>
    </dxf>
    <dxf>
      <font>
        <color rgb="FF33CCFF"/>
      </font>
    </dxf>
    <dxf>
      <font>
        <b/>
        <i val="0"/>
        <color rgb="FFF2C022"/>
      </font>
    </dxf>
    <dxf>
      <font>
        <color theme="1" tint="0.499984740745262"/>
      </font>
    </dxf>
    <dxf>
      <font>
        <color rgb="FF33CCFF"/>
      </font>
    </dxf>
    <dxf>
      <font>
        <b/>
        <i val="0"/>
        <color rgb="FFF2C022"/>
      </font>
    </dxf>
    <dxf>
      <font>
        <b/>
        <i val="0"/>
        <color rgb="FFF2C022"/>
      </font>
      <fill>
        <patternFill patternType="solid">
          <bgColor rgb="FF2E3033"/>
        </patternFill>
      </fill>
    </dxf>
    <dxf>
      <font>
        <color theme="0" tint="-0.34998626667073579"/>
      </font>
      <fill>
        <patternFill>
          <bgColor rgb="FF2E3033"/>
        </patternFill>
      </fill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b/>
        <i val="0"/>
        <color theme="0"/>
      </font>
      <fill>
        <patternFill>
          <bgColor rgb="FF026649"/>
        </patternFill>
      </fill>
    </dxf>
    <dxf>
      <font>
        <b/>
        <i val="0"/>
        <color theme="0"/>
      </font>
      <fill>
        <patternFill>
          <bgColor rgb="FFB00820"/>
        </patternFill>
      </fill>
    </dxf>
    <dxf>
      <font>
        <color rgb="FF33CCFF"/>
      </font>
    </dxf>
    <dxf>
      <font>
        <b/>
        <i val="0"/>
        <color rgb="FFF2C022"/>
      </font>
    </dxf>
    <dxf>
      <font>
        <color rgb="FFFF99CC"/>
      </font>
      <fill>
        <patternFill>
          <bgColor rgb="FF2E3033"/>
        </patternFill>
      </fill>
    </dxf>
    <dxf>
      <font>
        <color rgb="FFCC99FF"/>
      </font>
      <fill>
        <patternFill>
          <bgColor rgb="FF2E3033"/>
        </patternFill>
      </fill>
    </dxf>
    <dxf>
      <font>
        <b/>
        <i val="0"/>
        <color rgb="FFF2C022"/>
      </font>
      <fill>
        <patternFill patternType="solid">
          <bgColor rgb="FF2E3033"/>
        </patternFill>
      </fill>
    </dxf>
    <dxf>
      <font>
        <color theme="0" tint="-0.34998626667073579"/>
      </font>
      <fill>
        <patternFill>
          <bgColor rgb="FF2E3033"/>
        </patternFill>
      </fill>
    </dxf>
    <dxf>
      <font>
        <b/>
        <i val="0"/>
        <color theme="0"/>
      </font>
      <fill>
        <patternFill>
          <bgColor rgb="FF026649"/>
        </patternFill>
      </fill>
    </dxf>
    <dxf>
      <font>
        <b/>
        <i val="0"/>
        <color theme="0"/>
      </font>
      <fill>
        <patternFill>
          <bgColor rgb="FFB00820"/>
        </patternFill>
      </fill>
    </dxf>
    <dxf>
      <font>
        <color theme="1" tint="0.499984740745262"/>
      </font>
    </dxf>
    <dxf>
      <font>
        <b/>
        <i val="0"/>
        <color theme="0"/>
      </font>
      <fill>
        <patternFill>
          <bgColor rgb="FF026649"/>
        </patternFill>
      </fill>
    </dxf>
    <dxf>
      <font>
        <b/>
        <i val="0"/>
        <color theme="0"/>
      </font>
      <fill>
        <patternFill>
          <bgColor rgb="FFB00820"/>
        </patternFill>
      </fill>
    </dxf>
    <dxf>
      <font>
        <color rgb="FF33CCFF"/>
      </font>
    </dxf>
    <dxf>
      <font>
        <b/>
        <i val="0"/>
        <color rgb="FFF2C022"/>
      </font>
    </dxf>
    <dxf>
      <font>
        <color rgb="FFFF99CC"/>
      </font>
      <fill>
        <patternFill>
          <bgColor rgb="FF2E3033"/>
        </patternFill>
      </fill>
    </dxf>
    <dxf>
      <font>
        <color rgb="FFCC99FF"/>
      </font>
      <fill>
        <patternFill>
          <bgColor rgb="FF2E3033"/>
        </patternFill>
      </fill>
    </dxf>
    <dxf>
      <font>
        <b/>
        <i val="0"/>
        <color rgb="FFF2C022"/>
      </font>
      <fill>
        <patternFill patternType="solid">
          <bgColor rgb="FF2E3033"/>
        </patternFill>
      </fill>
    </dxf>
    <dxf>
      <font>
        <color theme="0" tint="-0.34998626667073579"/>
      </font>
      <fill>
        <patternFill>
          <bgColor rgb="FF2E3033"/>
        </patternFill>
      </fill>
    </dxf>
    <dxf>
      <font>
        <color rgb="FFF2C022"/>
      </font>
    </dxf>
    <dxf>
      <font>
        <b/>
        <i val="0"/>
        <color theme="0"/>
      </font>
      <fill>
        <patternFill>
          <bgColor rgb="FF026649"/>
        </patternFill>
      </fill>
    </dxf>
    <dxf>
      <font>
        <b/>
        <i val="0"/>
        <color theme="0"/>
      </font>
      <fill>
        <patternFill>
          <bgColor rgb="FFB00820"/>
        </patternFill>
      </fill>
    </dxf>
    <dxf>
      <font>
        <b/>
        <i val="0"/>
        <color theme="0" tint="-0.14996795556505021"/>
      </font>
      <fill>
        <patternFill>
          <bgColor rgb="FF026649"/>
        </patternFill>
      </fill>
    </dxf>
    <dxf>
      <font>
        <b/>
        <i val="0"/>
        <color theme="1" tint="0.499984740745262"/>
      </font>
      <fill>
        <patternFill>
          <bgColor rgb="FFB00820"/>
        </patternFill>
      </fill>
    </dxf>
    <dxf>
      <font>
        <color theme="1" tint="0.499984740745262"/>
      </font>
    </dxf>
    <dxf>
      <font>
        <b/>
        <i val="0"/>
        <color theme="0"/>
      </font>
      <fill>
        <patternFill>
          <bgColor rgb="FF026649"/>
        </patternFill>
      </fill>
    </dxf>
    <dxf>
      <font>
        <b/>
        <i val="0"/>
        <color theme="0"/>
      </font>
      <fill>
        <patternFill>
          <bgColor rgb="FFB00820"/>
        </patternFill>
      </fill>
    </dxf>
    <dxf>
      <font>
        <b/>
        <i val="0"/>
        <color theme="0" tint="-0.14993743705557422"/>
      </font>
      <fill>
        <patternFill>
          <bgColor rgb="FF026649"/>
        </patternFill>
      </fill>
    </dxf>
    <dxf>
      <font>
        <b/>
        <i val="0"/>
        <color theme="0" tint="-0.14996795556505021"/>
      </font>
      <fill>
        <patternFill>
          <bgColor rgb="FFB00820"/>
        </patternFill>
      </fill>
    </dxf>
    <dxf>
      <font>
        <color theme="1" tint="0.499984740745262"/>
      </font>
    </dxf>
    <dxf>
      <font>
        <b/>
        <i val="0"/>
        <color rgb="FF66FFFF"/>
      </font>
      <fill>
        <patternFill patternType="solid">
          <bgColor rgb="FF2E3033"/>
        </patternFill>
      </fill>
    </dxf>
    <dxf>
      <font>
        <b/>
        <i val="0"/>
        <color theme="0" tint="-0.499984740745262"/>
      </font>
      <numFmt numFmtId="0" formatCode="General"/>
      <fill>
        <patternFill>
          <bgColor rgb="FF2E3033"/>
        </patternFill>
      </fill>
    </dxf>
    <dxf>
      <font>
        <b/>
        <i val="0"/>
        <color rgb="FF00FF00"/>
      </font>
      <fill>
        <patternFill patternType="solid">
          <bgColor rgb="FF2E3033"/>
        </patternFill>
      </fill>
    </dxf>
    <dxf>
      <font>
        <b/>
        <i val="0"/>
        <color theme="0" tint="-0.499984740745262"/>
      </font>
      <numFmt numFmtId="0" formatCode="General"/>
      <fill>
        <patternFill>
          <bgColor rgb="FF2E3033"/>
        </patternFill>
      </fill>
    </dxf>
    <dxf>
      <font>
        <color theme="1" tint="0.499984740745262"/>
      </font>
    </dxf>
    <dxf>
      <font>
        <b/>
        <i val="0"/>
        <color rgb="FFF2C022"/>
      </font>
      <fill>
        <patternFill patternType="solid">
          <bgColor rgb="FF2E3033"/>
        </patternFill>
      </fill>
    </dxf>
    <dxf>
      <font>
        <b/>
        <i val="0"/>
        <color theme="0" tint="-0.499984740745262"/>
      </font>
      <numFmt numFmtId="0" formatCode="General"/>
      <fill>
        <patternFill>
          <bgColor rgb="FF2E3033"/>
        </patternFill>
      </fill>
    </dxf>
    <dxf>
      <font>
        <color theme="1" tint="0.499984740745262"/>
      </font>
    </dxf>
    <dxf>
      <font>
        <color rgb="FFF2C022"/>
      </font>
    </dxf>
    <dxf>
      <font>
        <b/>
        <i val="0"/>
        <color rgb="FFCC99FF"/>
      </font>
      <fill>
        <patternFill patternType="solid">
          <bgColor rgb="FF2E3033"/>
        </patternFill>
      </fill>
    </dxf>
    <dxf>
      <font>
        <b/>
        <i val="0"/>
        <color theme="0" tint="-0.499984740745262"/>
      </font>
      <numFmt numFmtId="0" formatCode="General"/>
      <fill>
        <patternFill>
          <bgColor rgb="FF2E3033"/>
        </patternFill>
      </fill>
    </dxf>
    <dxf>
      <font>
        <b/>
        <i val="0"/>
        <color rgb="FF00FF00"/>
      </font>
      <fill>
        <patternFill patternType="solid">
          <bgColor rgb="FF2E3033"/>
        </patternFill>
      </fill>
    </dxf>
    <dxf>
      <font>
        <b/>
        <i val="0"/>
        <color theme="0" tint="-0.499984740745262"/>
      </font>
      <numFmt numFmtId="0" formatCode="General"/>
      <fill>
        <patternFill>
          <bgColor rgb="FF2E3033"/>
        </patternFill>
      </fill>
    </dxf>
    <dxf>
      <font>
        <color theme="1" tint="0.499984740745262"/>
      </font>
    </dxf>
    <dxf>
      <font>
        <b/>
        <i val="0"/>
        <color rgb="FFF2C022"/>
      </font>
      <fill>
        <patternFill patternType="solid">
          <bgColor rgb="FF2E3033"/>
        </patternFill>
      </fill>
    </dxf>
    <dxf>
      <font>
        <b/>
        <i val="0"/>
        <color theme="0" tint="-0.499984740745262"/>
      </font>
      <numFmt numFmtId="0" formatCode="General"/>
      <fill>
        <patternFill>
          <bgColor rgb="FF2E3033"/>
        </patternFill>
      </fill>
    </dxf>
    <dxf>
      <font>
        <color theme="1" tint="0.499984740745262"/>
      </font>
    </dxf>
    <dxf>
      <font>
        <color rgb="FF66FFFF"/>
      </font>
    </dxf>
    <dxf>
      <font>
        <color rgb="FFFF5050"/>
      </font>
    </dxf>
    <dxf>
      <font>
        <color theme="1" tint="0.499984740745262"/>
      </font>
    </dxf>
    <dxf>
      <font>
        <color theme="0" tint="-4.9989318521683403E-2"/>
      </font>
      <fill>
        <patternFill>
          <bgColor rgb="FF2E3033"/>
        </patternFill>
      </fill>
    </dxf>
    <dxf>
      <font>
        <color theme="1" tint="0.499984740745262"/>
      </font>
    </dxf>
    <dxf>
      <font>
        <color theme="1" tint="0.499984740745262"/>
      </font>
    </dxf>
    <dxf>
      <font>
        <color rgb="FFF2C022"/>
      </font>
    </dxf>
    <dxf>
      <font>
        <color rgb="FFF51534"/>
      </font>
      <fill>
        <patternFill patternType="solid">
          <bgColor rgb="FF2E3033"/>
        </patternFill>
      </fill>
    </dxf>
    <dxf>
      <font>
        <b/>
        <i val="0"/>
        <color theme="0" tint="-0.14996795556505021"/>
      </font>
      <fill>
        <patternFill>
          <bgColor rgb="FF026649"/>
        </patternFill>
      </fill>
    </dxf>
    <dxf>
      <font>
        <b/>
        <i val="0"/>
        <color theme="1" tint="0.499984740745262"/>
      </font>
      <fill>
        <patternFill>
          <bgColor rgb="FFB00820"/>
        </patternFill>
      </fill>
    </dxf>
    <dxf>
      <font>
        <b/>
        <i val="0"/>
        <color theme="0"/>
      </font>
      <fill>
        <patternFill>
          <bgColor rgb="FF026649"/>
        </patternFill>
      </fill>
    </dxf>
    <dxf>
      <font>
        <b/>
        <i val="0"/>
        <color theme="0"/>
      </font>
      <fill>
        <patternFill>
          <bgColor rgb="FFB00820"/>
        </patternFill>
      </fill>
    </dxf>
    <dxf>
      <font>
        <b/>
        <i val="0"/>
        <color theme="0" tint="-0.14993743705557422"/>
      </font>
      <fill>
        <patternFill>
          <bgColor rgb="FF026649"/>
        </patternFill>
      </fill>
    </dxf>
    <dxf>
      <font>
        <b/>
        <i val="0"/>
        <color theme="0" tint="-0.14996795556505021"/>
      </font>
      <fill>
        <patternFill>
          <bgColor rgb="FFB00820"/>
        </patternFill>
      </fill>
    </dxf>
    <dxf>
      <font>
        <b/>
        <i val="0"/>
        <color rgb="FF00FF00"/>
      </font>
      <fill>
        <patternFill patternType="solid">
          <bgColor rgb="FF2E3033"/>
        </patternFill>
      </fill>
    </dxf>
    <dxf>
      <font>
        <b/>
        <i val="0"/>
        <color theme="0" tint="-0.499984740745262"/>
      </font>
      <numFmt numFmtId="0" formatCode="General"/>
      <fill>
        <patternFill>
          <bgColor rgb="FF2E3033"/>
        </patternFill>
      </fill>
    </dxf>
    <dxf>
      <font>
        <b/>
        <i val="0"/>
        <color rgb="FF66FFFF"/>
      </font>
      <fill>
        <patternFill patternType="solid">
          <bgColor rgb="FF2E3033"/>
        </patternFill>
      </fill>
    </dxf>
    <dxf>
      <font>
        <b/>
        <i val="0"/>
        <color theme="0" tint="-0.499984740745262"/>
      </font>
      <numFmt numFmtId="0" formatCode="General"/>
      <fill>
        <patternFill>
          <bgColor rgb="FF2E3033"/>
        </patternFill>
      </fill>
    </dxf>
    <dxf>
      <font>
        <b/>
        <i val="0"/>
        <color rgb="FF66FFFF"/>
      </font>
      <fill>
        <patternFill patternType="solid">
          <bgColor rgb="FF2E3033"/>
        </patternFill>
      </fill>
    </dxf>
    <dxf>
      <font>
        <b/>
        <i val="0"/>
        <color theme="0" tint="-0.499984740745262"/>
      </font>
      <numFmt numFmtId="0" formatCode="General"/>
      <fill>
        <patternFill>
          <bgColor rgb="FF2E3033"/>
        </patternFill>
      </fill>
    </dxf>
    <dxf>
      <font>
        <b/>
        <i val="0"/>
        <color rgb="FFF2C022"/>
      </font>
      <fill>
        <patternFill patternType="solid">
          <bgColor rgb="FF2E3033"/>
        </patternFill>
      </fill>
    </dxf>
    <dxf>
      <font>
        <b/>
        <i val="0"/>
        <color theme="0" tint="-0.499984740745262"/>
      </font>
      <numFmt numFmtId="0" formatCode="General"/>
      <fill>
        <patternFill>
          <bgColor rgb="FF2E3033"/>
        </patternFill>
      </fill>
    </dxf>
    <dxf>
      <font>
        <b/>
        <i val="0"/>
        <color rgb="FFCC99FF"/>
      </font>
      <fill>
        <patternFill patternType="solid">
          <bgColor rgb="FF2E3033"/>
        </patternFill>
      </fill>
    </dxf>
    <dxf>
      <font>
        <b/>
        <i val="0"/>
        <color theme="0" tint="-0.499984740745262"/>
      </font>
      <numFmt numFmtId="0" formatCode="General"/>
      <fill>
        <patternFill>
          <bgColor rgb="FF2E3033"/>
        </patternFill>
      </fill>
    </dxf>
    <dxf>
      <font>
        <b/>
        <i val="0"/>
        <color rgb="FF00FF00"/>
      </font>
      <fill>
        <patternFill patternType="solid">
          <bgColor rgb="FF2E3033"/>
        </patternFill>
      </fill>
    </dxf>
    <dxf>
      <font>
        <b/>
        <i val="0"/>
        <color theme="0" tint="-0.499984740745262"/>
      </font>
      <numFmt numFmtId="0" formatCode="General"/>
      <fill>
        <patternFill>
          <bgColor rgb="FF2E3033"/>
        </patternFill>
      </fill>
    </dxf>
    <dxf>
      <font>
        <b/>
        <i val="0"/>
        <color rgb="FFF2C022"/>
      </font>
      <fill>
        <patternFill patternType="solid">
          <bgColor rgb="FF2E3033"/>
        </patternFill>
      </fill>
    </dxf>
    <dxf>
      <font>
        <b/>
        <i val="0"/>
        <color theme="0" tint="-0.499984740745262"/>
      </font>
      <numFmt numFmtId="0" formatCode="General"/>
      <fill>
        <patternFill>
          <bgColor rgb="FF2E3033"/>
        </patternFill>
      </fill>
    </dxf>
    <dxf>
      <font>
        <b/>
        <i val="0"/>
        <color rgb="FF00FF00"/>
      </font>
      <fill>
        <patternFill patternType="solid">
          <bgColor rgb="FF2E3033"/>
        </patternFill>
      </fill>
    </dxf>
    <dxf>
      <font>
        <b/>
        <i val="0"/>
        <color theme="0" tint="-0.499984740745262"/>
      </font>
      <numFmt numFmtId="0" formatCode="General"/>
      <fill>
        <patternFill>
          <bgColor rgb="FF2E3033"/>
        </patternFill>
      </fill>
    </dxf>
    <dxf>
      <font>
        <color rgb="FF66FFFF"/>
      </font>
    </dxf>
    <dxf>
      <font>
        <color rgb="FFFF5050"/>
      </font>
    </dxf>
    <dxf>
      <font>
        <color rgb="FF66FFFF"/>
      </font>
    </dxf>
    <dxf>
      <font>
        <color rgb="FFFF5050"/>
      </font>
    </dxf>
    <dxf>
      <font>
        <b/>
        <i val="0"/>
        <color theme="0" tint="-0.14996795556505021"/>
      </font>
      <fill>
        <patternFill>
          <bgColor rgb="FF026649"/>
        </patternFill>
      </fill>
    </dxf>
    <dxf>
      <font>
        <b/>
        <i val="0"/>
        <color theme="1" tint="0.499984740745262"/>
      </font>
      <fill>
        <patternFill>
          <bgColor rgb="FFB00820"/>
        </patternFill>
      </fill>
    </dxf>
    <dxf>
      <font>
        <b/>
        <i val="0"/>
        <color theme="0"/>
      </font>
      <fill>
        <patternFill>
          <bgColor rgb="FF026649"/>
        </patternFill>
      </fill>
    </dxf>
    <dxf>
      <font>
        <b/>
        <i val="0"/>
        <color theme="0"/>
      </font>
      <fill>
        <patternFill>
          <bgColor rgb="FFB00820"/>
        </patternFill>
      </fill>
    </dxf>
    <dxf>
      <font>
        <b/>
        <i val="0"/>
        <color theme="0" tint="-0.14993743705557422"/>
      </font>
      <fill>
        <patternFill>
          <bgColor rgb="FF026649"/>
        </patternFill>
      </fill>
    </dxf>
    <dxf>
      <font>
        <b/>
        <i val="0"/>
        <color theme="0" tint="-0.14996795556505021"/>
      </font>
      <fill>
        <patternFill>
          <bgColor rgb="FFB00820"/>
        </patternFill>
      </fill>
    </dxf>
    <dxf>
      <font>
        <b/>
        <i val="0"/>
        <color rgb="FF00FF00"/>
      </font>
      <fill>
        <patternFill patternType="solid">
          <bgColor rgb="FF2E3033"/>
        </patternFill>
      </fill>
    </dxf>
    <dxf>
      <font>
        <b/>
        <i val="0"/>
        <color theme="0" tint="-0.499984740745262"/>
      </font>
      <numFmt numFmtId="0" formatCode="General"/>
      <fill>
        <patternFill>
          <bgColor rgb="FF2E3033"/>
        </patternFill>
      </fill>
    </dxf>
    <dxf>
      <font>
        <b/>
        <i val="0"/>
        <color rgb="FF66FFFF"/>
      </font>
      <fill>
        <patternFill patternType="solid">
          <bgColor rgb="FF2E3033"/>
        </patternFill>
      </fill>
    </dxf>
    <dxf>
      <font>
        <b/>
        <i val="0"/>
        <color theme="0" tint="-0.499984740745262"/>
      </font>
      <numFmt numFmtId="0" formatCode="General"/>
      <fill>
        <patternFill>
          <bgColor rgb="FF2E3033"/>
        </patternFill>
      </fill>
    </dxf>
    <dxf>
      <font>
        <b/>
        <i val="0"/>
        <color rgb="FF66FFFF"/>
      </font>
      <fill>
        <patternFill patternType="solid">
          <bgColor rgb="FF2E3033"/>
        </patternFill>
      </fill>
    </dxf>
    <dxf>
      <font>
        <b/>
        <i val="0"/>
        <color theme="0" tint="-0.499984740745262"/>
      </font>
      <numFmt numFmtId="0" formatCode="General"/>
      <fill>
        <patternFill>
          <bgColor rgb="FF2E3033"/>
        </patternFill>
      </fill>
    </dxf>
    <dxf>
      <font>
        <b/>
        <i val="0"/>
        <color rgb="FFF2C022"/>
      </font>
      <fill>
        <patternFill patternType="solid">
          <bgColor rgb="FF2E3033"/>
        </patternFill>
      </fill>
    </dxf>
    <dxf>
      <font>
        <b/>
        <i val="0"/>
        <color theme="0" tint="-0.499984740745262"/>
      </font>
      <numFmt numFmtId="0" formatCode="General"/>
      <fill>
        <patternFill>
          <bgColor rgb="FF2E3033"/>
        </patternFill>
      </fill>
    </dxf>
    <dxf>
      <font>
        <b/>
        <i val="0"/>
        <color rgb="FFCC99FF"/>
      </font>
      <fill>
        <patternFill patternType="solid">
          <bgColor rgb="FF2E3033"/>
        </patternFill>
      </fill>
    </dxf>
    <dxf>
      <font>
        <b/>
        <i val="0"/>
        <color theme="0" tint="-0.499984740745262"/>
      </font>
      <numFmt numFmtId="0" formatCode="General"/>
      <fill>
        <patternFill>
          <bgColor rgb="FF2E3033"/>
        </patternFill>
      </fill>
    </dxf>
    <dxf>
      <font>
        <b/>
        <i val="0"/>
        <color rgb="FF00FF00"/>
      </font>
      <fill>
        <patternFill patternType="solid">
          <bgColor rgb="FF2E3033"/>
        </patternFill>
      </fill>
    </dxf>
    <dxf>
      <font>
        <b/>
        <i val="0"/>
        <color theme="0" tint="-0.499984740745262"/>
      </font>
      <numFmt numFmtId="0" formatCode="General"/>
      <fill>
        <patternFill>
          <bgColor rgb="FF2E3033"/>
        </patternFill>
      </fill>
    </dxf>
    <dxf>
      <font>
        <b/>
        <i val="0"/>
        <color rgb="FFF2C022"/>
      </font>
      <fill>
        <patternFill patternType="solid">
          <bgColor rgb="FF2E3033"/>
        </patternFill>
      </fill>
    </dxf>
    <dxf>
      <font>
        <b/>
        <i val="0"/>
        <color theme="0" tint="-0.499984740745262"/>
      </font>
      <numFmt numFmtId="0" formatCode="General"/>
      <fill>
        <patternFill>
          <bgColor rgb="FF2E3033"/>
        </patternFill>
      </fill>
    </dxf>
    <dxf>
      <font>
        <b/>
        <i val="0"/>
        <color rgb="FF00FF00"/>
      </font>
      <fill>
        <patternFill patternType="solid">
          <bgColor rgb="FF2E3033"/>
        </patternFill>
      </fill>
    </dxf>
    <dxf>
      <font>
        <b/>
        <i val="0"/>
        <color theme="0" tint="-0.499984740745262"/>
      </font>
      <numFmt numFmtId="0" formatCode="General"/>
      <fill>
        <patternFill>
          <bgColor rgb="FF2E3033"/>
        </patternFill>
      </fill>
    </dxf>
    <dxf>
      <font>
        <b/>
        <i val="0"/>
        <color theme="0" tint="-0.14996795556505021"/>
      </font>
      <fill>
        <patternFill>
          <bgColor rgb="FF026649"/>
        </patternFill>
      </fill>
    </dxf>
    <dxf>
      <font>
        <b/>
        <i val="0"/>
        <color theme="1" tint="0.499984740745262"/>
      </font>
      <fill>
        <patternFill>
          <bgColor rgb="FFB00820"/>
        </patternFill>
      </fill>
    </dxf>
    <dxf>
      <font>
        <b/>
        <i val="0"/>
        <color theme="0"/>
      </font>
      <fill>
        <patternFill>
          <bgColor rgb="FF026649"/>
        </patternFill>
      </fill>
    </dxf>
    <dxf>
      <font>
        <b/>
        <i val="0"/>
        <color theme="0"/>
      </font>
      <fill>
        <patternFill>
          <bgColor rgb="FFB00820"/>
        </patternFill>
      </fill>
    </dxf>
    <dxf>
      <font>
        <b/>
        <i val="0"/>
        <color theme="0" tint="-0.14993743705557422"/>
      </font>
      <fill>
        <patternFill>
          <bgColor rgb="FF026649"/>
        </patternFill>
      </fill>
    </dxf>
    <dxf>
      <font>
        <b/>
        <i val="0"/>
        <color theme="0" tint="-0.14996795556505021"/>
      </font>
      <fill>
        <patternFill>
          <bgColor rgb="FFB00820"/>
        </patternFill>
      </fill>
    </dxf>
    <dxf>
      <font>
        <b/>
        <i val="0"/>
        <color rgb="FF00FF00"/>
      </font>
      <fill>
        <patternFill patternType="solid">
          <bgColor rgb="FF2E3033"/>
        </patternFill>
      </fill>
    </dxf>
    <dxf>
      <font>
        <b/>
        <i val="0"/>
        <color theme="0" tint="-0.499984740745262"/>
      </font>
      <numFmt numFmtId="0" formatCode="General"/>
      <fill>
        <patternFill>
          <bgColor rgb="FF2E3033"/>
        </patternFill>
      </fill>
    </dxf>
    <dxf>
      <font>
        <b/>
        <i val="0"/>
        <color rgb="FF66FFFF"/>
      </font>
      <fill>
        <patternFill patternType="solid">
          <bgColor rgb="FF2E3033"/>
        </patternFill>
      </fill>
    </dxf>
    <dxf>
      <font>
        <b/>
        <i val="0"/>
        <color theme="0" tint="-0.499984740745262"/>
      </font>
      <numFmt numFmtId="0" formatCode="General"/>
      <fill>
        <patternFill>
          <bgColor rgb="FF2E3033"/>
        </patternFill>
      </fill>
    </dxf>
    <dxf>
      <font>
        <b/>
        <i val="0"/>
        <color rgb="FF66FFFF"/>
      </font>
      <fill>
        <patternFill patternType="solid">
          <bgColor rgb="FF2E3033"/>
        </patternFill>
      </fill>
    </dxf>
    <dxf>
      <font>
        <b/>
        <i val="0"/>
        <color theme="0" tint="-0.499984740745262"/>
      </font>
      <numFmt numFmtId="0" formatCode="General"/>
      <fill>
        <patternFill>
          <bgColor rgb="FF2E3033"/>
        </patternFill>
      </fill>
    </dxf>
    <dxf>
      <font>
        <b/>
        <i val="0"/>
        <color rgb="FFF2C022"/>
      </font>
      <fill>
        <patternFill patternType="solid">
          <bgColor rgb="FF2E3033"/>
        </patternFill>
      </fill>
    </dxf>
    <dxf>
      <font>
        <b/>
        <i val="0"/>
        <color theme="0" tint="-0.499984740745262"/>
      </font>
      <numFmt numFmtId="0" formatCode="General"/>
      <fill>
        <patternFill>
          <bgColor rgb="FF2E3033"/>
        </patternFill>
      </fill>
    </dxf>
    <dxf>
      <font>
        <b/>
        <i val="0"/>
        <color rgb="FFCC99FF"/>
      </font>
      <fill>
        <patternFill patternType="solid">
          <bgColor rgb="FF2E3033"/>
        </patternFill>
      </fill>
    </dxf>
    <dxf>
      <font>
        <b/>
        <i val="0"/>
        <color theme="0" tint="-0.499984740745262"/>
      </font>
      <numFmt numFmtId="0" formatCode="General"/>
      <fill>
        <patternFill>
          <bgColor rgb="FF2E3033"/>
        </patternFill>
      </fill>
    </dxf>
    <dxf>
      <font>
        <b/>
        <i val="0"/>
        <color rgb="FF00FF00"/>
      </font>
      <fill>
        <patternFill patternType="solid">
          <bgColor rgb="FF2E3033"/>
        </patternFill>
      </fill>
    </dxf>
    <dxf>
      <font>
        <b/>
        <i val="0"/>
        <color theme="0" tint="-0.499984740745262"/>
      </font>
      <numFmt numFmtId="0" formatCode="General"/>
      <fill>
        <patternFill>
          <bgColor rgb="FF2E3033"/>
        </patternFill>
      </fill>
    </dxf>
    <dxf>
      <font>
        <b/>
        <i val="0"/>
        <color rgb="FFF2C022"/>
      </font>
      <fill>
        <patternFill patternType="solid">
          <bgColor rgb="FF2E3033"/>
        </patternFill>
      </fill>
    </dxf>
    <dxf>
      <font>
        <b/>
        <i val="0"/>
        <color theme="0" tint="-0.499984740745262"/>
      </font>
      <numFmt numFmtId="0" formatCode="General"/>
      <fill>
        <patternFill>
          <bgColor rgb="FF2E3033"/>
        </patternFill>
      </fill>
    </dxf>
    <dxf>
      <font>
        <color rgb="FF66FFFF"/>
      </font>
    </dxf>
    <dxf>
      <font>
        <color rgb="FFFF5050"/>
      </font>
    </dxf>
    <dxf>
      <font>
        <b/>
        <i val="0"/>
        <color theme="0" tint="-0.14996795556505021"/>
      </font>
      <fill>
        <patternFill>
          <bgColor rgb="FF026649"/>
        </patternFill>
      </fill>
    </dxf>
    <dxf>
      <font>
        <b/>
        <i val="0"/>
        <color theme="1" tint="0.499984740745262"/>
      </font>
      <fill>
        <patternFill>
          <bgColor rgb="FFB00820"/>
        </patternFill>
      </fill>
    </dxf>
    <dxf>
      <font>
        <color theme="1" tint="0.499984740745262"/>
      </font>
    </dxf>
    <dxf>
      <font>
        <b/>
        <i val="0"/>
        <color theme="0"/>
      </font>
      <fill>
        <patternFill>
          <bgColor rgb="FF026649"/>
        </patternFill>
      </fill>
    </dxf>
    <dxf>
      <font>
        <b/>
        <i val="0"/>
        <color theme="0"/>
      </font>
      <fill>
        <patternFill>
          <bgColor rgb="FFB00820"/>
        </patternFill>
      </fill>
    </dxf>
    <dxf>
      <font>
        <b/>
        <i val="0"/>
        <color theme="0" tint="-0.14993743705557422"/>
      </font>
      <fill>
        <patternFill>
          <bgColor rgb="FF026649"/>
        </patternFill>
      </fill>
    </dxf>
    <dxf>
      <font>
        <b/>
        <i val="0"/>
        <color theme="0" tint="-0.14996795556505021"/>
      </font>
      <fill>
        <patternFill>
          <bgColor rgb="FFB00820"/>
        </patternFill>
      </fill>
    </dxf>
    <dxf>
      <font>
        <color theme="1" tint="0.499984740745262"/>
      </font>
    </dxf>
    <dxf>
      <font>
        <b/>
        <i val="0"/>
        <color rgb="FF66FFFF"/>
      </font>
      <fill>
        <patternFill patternType="solid">
          <bgColor rgb="FF2E3033"/>
        </patternFill>
      </fill>
    </dxf>
    <dxf>
      <font>
        <b/>
        <i val="0"/>
        <color theme="0" tint="-0.499984740745262"/>
      </font>
      <numFmt numFmtId="0" formatCode="General"/>
      <fill>
        <patternFill>
          <bgColor rgb="FF2E3033"/>
        </patternFill>
      </fill>
    </dxf>
    <dxf>
      <font>
        <b/>
        <i val="0"/>
        <color rgb="FF00FF00"/>
      </font>
      <fill>
        <patternFill patternType="solid">
          <bgColor rgb="FF2E3033"/>
        </patternFill>
      </fill>
    </dxf>
    <dxf>
      <font>
        <b/>
        <i val="0"/>
        <color theme="0" tint="-0.499984740745262"/>
      </font>
      <numFmt numFmtId="0" formatCode="General"/>
      <fill>
        <patternFill>
          <bgColor rgb="FF2E3033"/>
        </patternFill>
      </fill>
    </dxf>
    <dxf>
      <font>
        <color theme="1" tint="0.499984740745262"/>
      </font>
    </dxf>
    <dxf>
      <font>
        <b/>
        <i val="0"/>
        <color rgb="FFF2C022"/>
      </font>
      <fill>
        <patternFill patternType="solid">
          <bgColor rgb="FF2E3033"/>
        </patternFill>
      </fill>
    </dxf>
    <dxf>
      <font>
        <b/>
        <i val="0"/>
        <color theme="0" tint="-0.499984740745262"/>
      </font>
      <numFmt numFmtId="0" formatCode="General"/>
      <fill>
        <patternFill>
          <bgColor rgb="FF2E3033"/>
        </patternFill>
      </fill>
    </dxf>
    <dxf>
      <font>
        <color theme="1" tint="0.499984740745262"/>
      </font>
    </dxf>
    <dxf>
      <font>
        <color rgb="FFF2C022"/>
      </font>
    </dxf>
    <dxf>
      <font>
        <b/>
        <i val="0"/>
        <color rgb="FFCC99FF"/>
      </font>
      <fill>
        <patternFill patternType="solid">
          <bgColor rgb="FF2E3033"/>
        </patternFill>
      </fill>
    </dxf>
    <dxf>
      <font>
        <b/>
        <i val="0"/>
        <color theme="0" tint="-0.499984740745262"/>
      </font>
      <numFmt numFmtId="0" formatCode="General"/>
      <fill>
        <patternFill>
          <bgColor rgb="FF2E3033"/>
        </patternFill>
      </fill>
    </dxf>
    <dxf>
      <font>
        <b/>
        <i val="0"/>
        <color rgb="FF00FF00"/>
      </font>
      <fill>
        <patternFill patternType="solid">
          <bgColor rgb="FF2E3033"/>
        </patternFill>
      </fill>
    </dxf>
    <dxf>
      <font>
        <b/>
        <i val="0"/>
        <color theme="0" tint="-0.499984740745262"/>
      </font>
      <numFmt numFmtId="0" formatCode="General"/>
      <fill>
        <patternFill>
          <bgColor rgb="FF2E3033"/>
        </patternFill>
      </fill>
    </dxf>
    <dxf>
      <font>
        <color theme="1" tint="0.499984740745262"/>
      </font>
    </dxf>
    <dxf>
      <font>
        <b/>
        <i val="0"/>
        <color rgb="FFF2C022"/>
      </font>
      <fill>
        <patternFill patternType="solid">
          <bgColor rgb="FF2E3033"/>
        </patternFill>
      </fill>
    </dxf>
    <dxf>
      <font>
        <b/>
        <i val="0"/>
        <color theme="0" tint="-0.499984740745262"/>
      </font>
      <numFmt numFmtId="0" formatCode="General"/>
      <fill>
        <patternFill>
          <bgColor rgb="FF2E3033"/>
        </patternFill>
      </fill>
    </dxf>
    <dxf>
      <font>
        <color theme="1" tint="0.499984740745262"/>
      </font>
    </dxf>
    <dxf>
      <font>
        <color rgb="FF66FFFF"/>
      </font>
    </dxf>
    <dxf>
      <font>
        <color rgb="FFFF5050"/>
      </font>
    </dxf>
    <dxf>
      <font>
        <color theme="1" tint="0.499984740745262"/>
      </font>
    </dxf>
    <dxf>
      <font>
        <color theme="0" tint="-4.9989318521683403E-2"/>
      </font>
      <fill>
        <patternFill>
          <bgColor rgb="FF2E3033"/>
        </patternFill>
      </fill>
    </dxf>
    <dxf>
      <font>
        <color theme="1" tint="0.499984740745262"/>
      </font>
    </dxf>
    <dxf>
      <font>
        <color rgb="FF66FFFF"/>
      </font>
    </dxf>
    <dxf>
      <font>
        <color rgb="FFFF5050"/>
      </font>
    </dxf>
    <dxf>
      <font>
        <b/>
        <i val="0"/>
        <color rgb="FF66FFFF"/>
      </font>
      <fill>
        <patternFill patternType="solid">
          <bgColor rgb="FF2E3033"/>
        </patternFill>
      </fill>
    </dxf>
    <dxf>
      <font>
        <b/>
        <i val="0"/>
        <color theme="0" tint="-0.499984740745262"/>
      </font>
      <numFmt numFmtId="0" formatCode="General"/>
      <fill>
        <patternFill>
          <bgColor rgb="FF2E3033"/>
        </patternFill>
      </fill>
    </dxf>
    <dxf>
      <font>
        <b/>
        <i val="0"/>
        <color rgb="FFF2C022"/>
      </font>
      <fill>
        <patternFill patternType="solid">
          <bgColor rgb="FF2E3033"/>
        </patternFill>
      </fill>
    </dxf>
    <dxf>
      <font>
        <b/>
        <i val="0"/>
        <color theme="0" tint="-0.499984740745262"/>
      </font>
      <numFmt numFmtId="0" formatCode="General"/>
      <fill>
        <patternFill>
          <bgColor rgb="FF2E3033"/>
        </patternFill>
      </fill>
    </dxf>
    <dxf>
      <font>
        <b/>
        <i val="0"/>
        <color rgb="FFCC99FF"/>
      </font>
      <fill>
        <patternFill patternType="solid">
          <bgColor rgb="FF2E3033"/>
        </patternFill>
      </fill>
    </dxf>
    <dxf>
      <font>
        <b/>
        <i val="0"/>
        <color theme="0" tint="-0.499984740745262"/>
      </font>
      <numFmt numFmtId="0" formatCode="General"/>
      <fill>
        <patternFill>
          <bgColor rgb="FF2E3033"/>
        </patternFill>
      </fill>
    </dxf>
    <dxf>
      <font>
        <b/>
        <i val="0"/>
        <color rgb="FF00FF00"/>
      </font>
      <fill>
        <patternFill patternType="solid">
          <bgColor rgb="FF2E3033"/>
        </patternFill>
      </fill>
    </dxf>
    <dxf>
      <font>
        <b/>
        <i val="0"/>
        <color theme="0" tint="-0.499984740745262"/>
      </font>
      <numFmt numFmtId="0" formatCode="General"/>
      <fill>
        <patternFill>
          <bgColor rgb="FF2E3033"/>
        </patternFill>
      </fill>
    </dxf>
    <dxf>
      <font>
        <b/>
        <i val="0"/>
        <color theme="0" tint="-0.14996795556505021"/>
      </font>
      <fill>
        <patternFill>
          <bgColor rgb="FF026649"/>
        </patternFill>
      </fill>
    </dxf>
    <dxf>
      <font>
        <b/>
        <i val="0"/>
        <color theme="1" tint="0.499984740745262"/>
      </font>
      <fill>
        <patternFill>
          <bgColor rgb="FFB00820"/>
        </patternFill>
      </fill>
    </dxf>
    <dxf>
      <font>
        <color rgb="FFF2C022"/>
      </font>
    </dxf>
    <dxf>
      <font>
        <color theme="1" tint="0.499984740745262"/>
      </font>
    </dxf>
    <dxf>
      <font>
        <color rgb="FF66CCFF"/>
      </font>
    </dxf>
    <dxf>
      <font>
        <color rgb="FFF2C022"/>
      </font>
    </dxf>
    <dxf>
      <font>
        <color rgb="FFCC99FF"/>
      </font>
    </dxf>
    <dxf>
      <font>
        <color rgb="FFF2C022"/>
      </font>
    </dxf>
    <dxf>
      <font>
        <color theme="0" tint="-4.9989318521683403E-2"/>
      </font>
      <fill>
        <patternFill>
          <bgColor rgb="FF2E3033"/>
        </patternFill>
      </fill>
    </dxf>
    <dxf>
      <font>
        <b/>
        <i val="0"/>
        <color theme="0"/>
      </font>
      <fill>
        <patternFill>
          <bgColor rgb="FF026649"/>
        </patternFill>
      </fill>
    </dxf>
    <dxf>
      <font>
        <b/>
        <i val="0"/>
        <color theme="0"/>
      </font>
      <fill>
        <patternFill>
          <bgColor rgb="FFB00820"/>
        </patternFill>
      </fill>
    </dxf>
    <dxf>
      <font>
        <b/>
        <i val="0"/>
        <color theme="0" tint="-0.14993743705557422"/>
      </font>
      <fill>
        <patternFill>
          <bgColor rgb="FF026649"/>
        </patternFill>
      </fill>
    </dxf>
    <dxf>
      <font>
        <b/>
        <i val="0"/>
        <color theme="0" tint="-0.14996795556505021"/>
      </font>
      <fill>
        <patternFill>
          <bgColor rgb="FFB00820"/>
        </patternFill>
      </fill>
    </dxf>
    <dxf>
      <font>
        <color rgb="FFF51534"/>
      </font>
      <fill>
        <patternFill patternType="solid">
          <bgColor rgb="FF2E3033"/>
        </patternFill>
      </fill>
    </dxf>
  </dxfs>
  <tableStyles count="0" defaultTableStyle="TableStyleMedium2" defaultPivotStyle="PivotStyleLight16"/>
  <colors>
    <mruColors>
      <color rgb="FF2E3033"/>
      <color rgb="FF00FF00"/>
      <color rgb="FFFF5050"/>
      <color rgb="FF66FFFF"/>
      <color rgb="FFCC99FF"/>
      <color rgb="FFF2C022"/>
      <color rgb="FF33CCFF"/>
      <color rgb="FF66CCFF"/>
      <color rgb="FF03976D"/>
      <color rgb="FF02664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0</xdr:row>
          <xdr:rowOff>66675</xdr:rowOff>
        </xdr:from>
        <xdr:to>
          <xdr:col>2</xdr:col>
          <xdr:colOff>2790825</xdr:colOff>
          <xdr:row>0</xdr:row>
          <xdr:rowOff>419100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0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Juggle Emails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219075</xdr:colOff>
          <xdr:row>0</xdr:row>
          <xdr:rowOff>133350</xdr:rowOff>
        </xdr:from>
        <xdr:to>
          <xdr:col>2</xdr:col>
          <xdr:colOff>1885950</xdr:colOff>
          <xdr:row>0</xdr:row>
          <xdr:rowOff>466725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Juggle Reports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28575</xdr:rowOff>
        </xdr:from>
        <xdr:to>
          <xdr:col>19</xdr:col>
          <xdr:colOff>323850</xdr:colOff>
          <xdr:row>0</xdr:row>
          <xdr:rowOff>485775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Hours Trackr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628650</xdr:colOff>
          <xdr:row>0</xdr:row>
          <xdr:rowOff>523875</xdr:rowOff>
        </xdr:from>
        <xdr:to>
          <xdr:col>19</xdr:col>
          <xdr:colOff>323850</xdr:colOff>
          <xdr:row>1</xdr:row>
          <xdr:rowOff>428625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Pack Accuracy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file:///\\SRVLICHFDFP1\Asos$\MI\MI%20Reporting%20-%20%202022-2023\002%20Fails%20-%20Daily\" TargetMode="External"/><Relationship Id="rId18" Type="http://schemas.openxmlformats.org/officeDocument/2006/relationships/hyperlink" Target="file:///\\SRVLICHFDFP1\Asos$\MI\MI%20Reporting%20-%20%202022-2023\130%20Pack%20Accuracy\" TargetMode="External"/><Relationship Id="rId26" Type="http://schemas.openxmlformats.org/officeDocument/2006/relationships/hyperlink" Target="file:///\\SRVLICHFDFP1\Asos$\MI\MI%20Reporting%20-%20%202022-2023\138%20Oustanding%20Putaway\" TargetMode="External"/><Relationship Id="rId3" Type="http://schemas.openxmlformats.org/officeDocument/2006/relationships/hyperlink" Target="file:///\\SRVLICHFDFP1\Asos$\MI\MI%20Reporting%20-%20%202022-2023\026%20Manually%20Shipped%20Orders\" TargetMode="External"/><Relationship Id="rId21" Type="http://schemas.openxmlformats.org/officeDocument/2006/relationships/hyperlink" Target="file:///\\SRVLICHFDFP1\Asos$\MI\MI%20Reporting%20-%20%202022-2023\132%20Max%20Records%20Report\" TargetMode="External"/><Relationship Id="rId34" Type="http://schemas.openxmlformats.org/officeDocument/2006/relationships/ctrlProp" Target="../ctrlProps/ctrlProp1.xml"/><Relationship Id="rId7" Type="http://schemas.openxmlformats.org/officeDocument/2006/relationships/hyperlink" Target="file:///\\SRVLICHFDFP1\Asos$\MI\MI%20Reporting%20-%20%202022-2023\000%20REQUESTED%20REPORTS\005%20Luke%20Bekham%20-%20Orders%20into%20WMS\" TargetMode="External"/><Relationship Id="rId12" Type="http://schemas.openxmlformats.org/officeDocument/2006/relationships/hyperlink" Target="file:///\\SRVLICHFDFP1\Asos$\MI\MI%20Reporting%20-%20%202022-2023\017%20Site%20Review\" TargetMode="External"/><Relationship Id="rId17" Type="http://schemas.openxmlformats.org/officeDocument/2006/relationships/hyperlink" Target="file:///\\SRVLICHFDFP1\Asos$\MI\MI%20Reporting%20-%20%202022-2023\129%20Operational%20Productivity\" TargetMode="External"/><Relationship Id="rId25" Type="http://schemas.openxmlformats.org/officeDocument/2006/relationships/hyperlink" Target="file:///\\SRVLICHFDFP1\Asos$\MI\MI%20Reporting%20-%20%202022-2023\137%20Prob%20Res%20Dwell\" TargetMode="External"/><Relationship Id="rId33" Type="http://schemas.openxmlformats.org/officeDocument/2006/relationships/vmlDrawing" Target="../drawings/vmlDrawing1.vml"/><Relationship Id="rId2" Type="http://schemas.openxmlformats.org/officeDocument/2006/relationships/hyperlink" Target="file:///\\SRVLICHFDFP1\Asos$\MI\MI%20Reporting%20-%20%202022-2023\036%20Sortation%20Report\" TargetMode="External"/><Relationship Id="rId16" Type="http://schemas.openxmlformats.org/officeDocument/2006/relationships/hyperlink" Target="file:///\\SRVLICHFDFP1\Asos$\MI\MI%20Reporting%20-%20%202022-2023\017%20Site%20Review\" TargetMode="External"/><Relationship Id="rId20" Type="http://schemas.openxmlformats.org/officeDocument/2006/relationships/hyperlink" Target="file:///\\SRVLICHFDFP1\Asos$\MI\MI%20Reporting%20-%20%202022-2023\017%20Site%20Review\" TargetMode="External"/><Relationship Id="rId29" Type="http://schemas.openxmlformats.org/officeDocument/2006/relationships/hyperlink" Target="file:///\\SRVLICHFDFP1\Asos$\MI\MI%20Reporting%20-%20%202022-2023\017%20Site%20Review\" TargetMode="External"/><Relationship Id="rId1" Type="http://schemas.openxmlformats.org/officeDocument/2006/relationships/hyperlink" Target="file:///\\SRVLICHFDFP1\Asos$\MI\MI%20Reporting%20-%20%202022-2023\037%20Prop%20res%20Report\" TargetMode="External"/><Relationship Id="rId6" Type="http://schemas.openxmlformats.org/officeDocument/2006/relationships/hyperlink" Target="file:///\\SRVLICHFDFP1\Asos$\MI\MI%20Reporting%20-%20%202022-2023\018%20SKU%20Detail%20Report%20830\" TargetMode="External"/><Relationship Id="rId11" Type="http://schemas.openxmlformats.org/officeDocument/2006/relationships/hyperlink" Target="file:///\\SRVLICHFDFP1\Asos$\MI\MI%20Reporting%20-%20%202022-2023\133%20Pick%20Volumes%20by%20Storage%20Class\" TargetMode="External"/><Relationship Id="rId24" Type="http://schemas.openxmlformats.org/officeDocument/2006/relationships/hyperlink" Target="file:///\\SRVLICHFDFP1\Asos$\MI\MI%20Reporting%20-%20%202022-2023\136%20Order%20Consolidation\" TargetMode="External"/><Relationship Id="rId32" Type="http://schemas.openxmlformats.org/officeDocument/2006/relationships/drawing" Target="../drawings/drawing1.xml"/><Relationship Id="rId5" Type="http://schemas.openxmlformats.org/officeDocument/2006/relationships/hyperlink" Target="file:///\\SRVLICHFDFP1\Asos$\MI\MI%20Reporting%20-%20%202022-2023\077%20Orphan%20SKUs%20Report\" TargetMode="External"/><Relationship Id="rId15" Type="http://schemas.openxmlformats.org/officeDocument/2006/relationships/hyperlink" Target="file:///\\SRVLICHFDFP1\Asos$\MI\MI%20Reporting%20-%20%202022-2023\002%20Fails%20-%20Daily\Comms\" TargetMode="External"/><Relationship Id="rId23" Type="http://schemas.openxmlformats.org/officeDocument/2006/relationships/hyperlink" Target="file:///\\SRVLICHFDFP1\Asos$\MI\MI%20Reporting%20-%20%202022-2023\000%20REQUESTED%20REPORTS\001%20Rachael%20-%20Weekly%20summary\" TargetMode="External"/><Relationship Id="rId28" Type="http://schemas.openxmlformats.org/officeDocument/2006/relationships/hyperlink" Target="file:///\\SRVLICHFDFP1\Asos$\MI\MI%20Reporting%20-%20%202022-2023\140%20Short%20Ship\" TargetMode="External"/><Relationship Id="rId10" Type="http://schemas.openxmlformats.org/officeDocument/2006/relationships/hyperlink" Target="file:///\\SRVLICHFDFP1\Asos$\MI\MI%20Reporting%20-%20%202022-2023\000%20REQUESTED%20REPORTS\021%20Chris%20Smith%20-%20Waves%20and%20Workgroups\" TargetMode="External"/><Relationship Id="rId19" Type="http://schemas.openxmlformats.org/officeDocument/2006/relationships/hyperlink" Target="file:///\\SRVLICHFDFP1\Asos$\MI\MI%20Reporting%20-%20%202022-2023\017%20Site%20Review\" TargetMode="External"/><Relationship Id="rId31" Type="http://schemas.openxmlformats.org/officeDocument/2006/relationships/printerSettings" Target="../printerSettings/printerSettings1.bin"/><Relationship Id="rId4" Type="http://schemas.openxmlformats.org/officeDocument/2006/relationships/hyperlink" Target="file:///\\SRVLICHFDFP1\Asos$\MI\MI%20Reporting%20-%20%202022-2023\040%20Optimisation%20report\" TargetMode="External"/><Relationship Id="rId9" Type="http://schemas.openxmlformats.org/officeDocument/2006/relationships/hyperlink" Target="file:///\\SRVLICHFDFP1\Asos$\MI\MI%20Reporting%20-%20%202022-2023\032%20Putaway%20Extract\" TargetMode="External"/><Relationship Id="rId14" Type="http://schemas.openxmlformats.org/officeDocument/2006/relationships/hyperlink" Target="file:///\\SRVLICHFDFP1\Asos$\MI\MI%20Reporting%20-%20%202022-2023\002%20Fails%20-%20Daily\" TargetMode="External"/><Relationship Id="rId22" Type="http://schemas.openxmlformats.org/officeDocument/2006/relationships/hyperlink" Target="file:///\\SRVLICHFDFP1\Asos$\MI\MI%20Reporting%20-%20%202022-2023\135%20Picks%20from%20same%20location\" TargetMode="External"/><Relationship Id="rId27" Type="http://schemas.openxmlformats.org/officeDocument/2006/relationships/hyperlink" Target="file:///\\SRVLICHFDFP1\Asos$\MI\MI%20Reporting%20-%20%202022-2023\139%20IWT%20Putaway%20Dwell\" TargetMode="External"/><Relationship Id="rId30" Type="http://schemas.openxmlformats.org/officeDocument/2006/relationships/hyperlink" Target="file:///\\SRVLICHFDFP1\Asos$\MI\MI%20Reporting%20-%20%202022-2023\017%20Site%20Review\" TargetMode="External"/><Relationship Id="rId35" Type="http://schemas.openxmlformats.org/officeDocument/2006/relationships/comments" Target="../comments1.xml"/><Relationship Id="rId8" Type="http://schemas.openxmlformats.org/officeDocument/2006/relationships/hyperlink" Target="file:///\\SRVLICHFDFP1\Asos$\MI\MI%20Reporting%20-%20%202022-2023\031%20Putaway%20Dwell%20Time%20Report\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file:///\\SRVLICHFDFP1\Asos$\MI\MI%20Reporting%20-%20%202022-2023\031%20Putaway%20Dwell%20Time%20Report\" TargetMode="External"/><Relationship Id="rId13" Type="http://schemas.openxmlformats.org/officeDocument/2006/relationships/hyperlink" Target="file:///\\SRVLICHFDFP1\Asos$\MI\MI%20Reporting%20-%20%202022-2023\017%20Site%20Review\" TargetMode="External"/><Relationship Id="rId18" Type="http://schemas.openxmlformats.org/officeDocument/2006/relationships/hyperlink" Target="file:///\\SRVLICHFDFP1\Asos$\MI\MI%20Reporting%20-%20%202022-2023\137%20Prob%20Res%20Dwell\" TargetMode="External"/><Relationship Id="rId26" Type="http://schemas.openxmlformats.org/officeDocument/2006/relationships/vmlDrawing" Target="../drawings/vmlDrawing2.vml"/><Relationship Id="rId3" Type="http://schemas.openxmlformats.org/officeDocument/2006/relationships/hyperlink" Target="file:///\\SRVLICHFDFP1\Asos$\MI\MI%20Reporting%20-%20%202022-2023\026%20Manually%20Shipped%20Orders\" TargetMode="External"/><Relationship Id="rId21" Type="http://schemas.openxmlformats.org/officeDocument/2006/relationships/hyperlink" Target="file:///\\SRVLICHFDFP1\Asos$\MI\MI%20Reporting%20-%20%202022-2023\140%20Short%20Ship\" TargetMode="External"/><Relationship Id="rId7" Type="http://schemas.openxmlformats.org/officeDocument/2006/relationships/hyperlink" Target="file:///\\SRVLICHFDFP1\Asos$\MI\MI%20Reporting%20-%20%202022-2023\000%20REQUESTED%20REPORTS\005%20Luke%20Bekham%20-%20Orders%20into%20WMS\" TargetMode="External"/><Relationship Id="rId12" Type="http://schemas.openxmlformats.org/officeDocument/2006/relationships/hyperlink" Target="file:///\\SRVLICHFDFP1\Asos$\Inventory\06.Stock%20Adjustment%20Extracts\" TargetMode="External"/><Relationship Id="rId17" Type="http://schemas.openxmlformats.org/officeDocument/2006/relationships/hyperlink" Target="file:///\\SRVLICHFDFP1\Asos$\MI\MI%20Reporting%20-%20%202022-2023\136%20Order%20Consolidation\" TargetMode="External"/><Relationship Id="rId25" Type="http://schemas.openxmlformats.org/officeDocument/2006/relationships/drawing" Target="../drawings/drawing2.xml"/><Relationship Id="rId2" Type="http://schemas.openxmlformats.org/officeDocument/2006/relationships/hyperlink" Target="file:///\\SRVLICHFDFP1\Asos$\MI\MI%20Reporting%20-%20%202022-2023\036%20Sortation%20Report\" TargetMode="External"/><Relationship Id="rId16" Type="http://schemas.openxmlformats.org/officeDocument/2006/relationships/hyperlink" Target="file:///\\SRVLICHFDFP1\Asos$\MI\MI%20Reporting%20-%20%202022-2023\135%20Picks%20from%20same%20location\" TargetMode="External"/><Relationship Id="rId20" Type="http://schemas.openxmlformats.org/officeDocument/2006/relationships/hyperlink" Target="file:///\\SRVLICHFDFP1\Asos$\MI\MI%20Reporting%20-%20%202022-2023\139%20IWT%20Putaway%20Dwell\" TargetMode="External"/><Relationship Id="rId29" Type="http://schemas.openxmlformats.org/officeDocument/2006/relationships/ctrlProp" Target="../ctrlProps/ctrlProp4.xml"/><Relationship Id="rId1" Type="http://schemas.openxmlformats.org/officeDocument/2006/relationships/hyperlink" Target="file:///\\SRVLICHFDFP1\Asos$\MI\MI%20Reporting%20-%20%202022-2023\037%20Prop%20res%20Report\" TargetMode="External"/><Relationship Id="rId6" Type="http://schemas.openxmlformats.org/officeDocument/2006/relationships/hyperlink" Target="file:///\\SRVLICHFDFP1\Asos$\MI\MI%20Reporting%20-%20%202022-2023\018%20SKU%20Detail%20Report%20830\" TargetMode="External"/><Relationship Id="rId11" Type="http://schemas.openxmlformats.org/officeDocument/2006/relationships/hyperlink" Target="file:///\\SRVLICHFDFP1\Asos$\MI\MI%20Reporting%20-%20%202022-2023\133%20Pick%20Volumes%20by%20Storage%20Class\" TargetMode="External"/><Relationship Id="rId24" Type="http://schemas.openxmlformats.org/officeDocument/2006/relationships/printerSettings" Target="../printerSettings/printerSettings2.bin"/><Relationship Id="rId5" Type="http://schemas.openxmlformats.org/officeDocument/2006/relationships/hyperlink" Target="file:///\\SRVLICHFDFP1\Asos$\MI\MI%20Reporting%20-%20%202022-2023\077%20Orphan%20SKUs%20Report\" TargetMode="External"/><Relationship Id="rId15" Type="http://schemas.openxmlformats.org/officeDocument/2006/relationships/hyperlink" Target="file:///\\SRVLICHFDFP1\Asos$\MI\MI%20Reporting%20-%20%202022-2023\002%20Fails%20-%20Daily\Comms\" TargetMode="External"/><Relationship Id="rId23" Type="http://schemas.openxmlformats.org/officeDocument/2006/relationships/hyperlink" Target="file:///\\SRVLICHFDFP1\Asos$\MI\MI%20Reporting%20-%20%202022-2023\000%20REQUESTED%20REPORTS\023%20Craig%20Ward%20-%20Restart%20Order%20by%20the%20Hour\" TargetMode="External"/><Relationship Id="rId28" Type="http://schemas.openxmlformats.org/officeDocument/2006/relationships/ctrlProp" Target="../ctrlProps/ctrlProp3.xml"/><Relationship Id="rId10" Type="http://schemas.openxmlformats.org/officeDocument/2006/relationships/hyperlink" Target="file:///\\SRVLICHFDFP1\Asos$\MI\MI%20Reporting%20-%20%202022-2023\000%20REQUESTED%20REPORTS\021%20Chris%20Smith%20-%20Waves%20and%20Workgroups\" TargetMode="External"/><Relationship Id="rId19" Type="http://schemas.openxmlformats.org/officeDocument/2006/relationships/hyperlink" Target="file:///\\SRVLICHFDFP1\Asos$\MI\MI%20Reporting%20-%20%202022-2023\138%20Oustanding%20Putaway\" TargetMode="External"/><Relationship Id="rId4" Type="http://schemas.openxmlformats.org/officeDocument/2006/relationships/hyperlink" Target="file:///\\SRVLICHFDFP1\Asos$\MI\MI%20Reporting%20-%20%202022-2023\040%20Optimisation%20report\" TargetMode="External"/><Relationship Id="rId9" Type="http://schemas.openxmlformats.org/officeDocument/2006/relationships/hyperlink" Target="file:///\\SRVLICHFDFP1\Asos$\MI\MI%20Reporting%20-%20%202022-2023\032%20Putaway%20Extract\" TargetMode="External"/><Relationship Id="rId14" Type="http://schemas.openxmlformats.org/officeDocument/2006/relationships/hyperlink" Target="file:///\\SRVLICHFDFP1\Asos$\MI\MI%20Reporting%20-%20%202022-2023\002%20Fails%20-%20Daily\" TargetMode="External"/><Relationship Id="rId22" Type="http://schemas.openxmlformats.org/officeDocument/2006/relationships/hyperlink" Target="file:///\\SRVLICHFDFP1\Asos$\MI\MI%20Reporting%20-%20%202022-2023\000%20REQUESTED%20REPORTS\001%20Rachael%20-%20Weekly%20summary\" TargetMode="External"/><Relationship Id="rId27" Type="http://schemas.openxmlformats.org/officeDocument/2006/relationships/ctrlProp" Target="../ctrlProps/ctrlProp2.xml"/><Relationship Id="rId30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XPOLichfieldMI@gxo.com" TargetMode="External"/><Relationship Id="rId13" Type="http://schemas.openxmlformats.org/officeDocument/2006/relationships/hyperlink" Target="mailto:GXOLichfieldMI@gxo.com;Darren.Johnson@ASOS.com;ben.copson@gxo.com;richard.harvey@gxo.com;nick.clayton@gxo.com" TargetMode="External"/><Relationship Id="rId18" Type="http://schemas.openxmlformats.org/officeDocument/2006/relationships/hyperlink" Target="mailto:XPOLichfieldMI@gxo.com" TargetMode="External"/><Relationship Id="rId3" Type="http://schemas.openxmlformats.org/officeDocument/2006/relationships/hyperlink" Target="mailto:XPOLichfieldMI@gxo.com" TargetMode="External"/><Relationship Id="rId21" Type="http://schemas.openxmlformats.org/officeDocument/2006/relationships/hyperlink" Target="mailto:craig.ward@gxo.com;Chris.Smith@asos.com;luke.beckham@asos.com;ben.copson@gxo.com;richard.harvey@gxo.com;nick.clayton@gxo.com;sharon.gill@gxo.com;rachael.gough@gxo.com;andrew.thomas@gxo.com;mirain.povey@asos.com;laura.kentleton@asos.com" TargetMode="External"/><Relationship Id="rId7" Type="http://schemas.openxmlformats.org/officeDocument/2006/relationships/hyperlink" Target="mailto:craig.ward@gxo.com;GXOLichfieldShiftManagers@gxo.com;ben.copson@gxo.com;richard.harvey@gxo.com;nick.clayton@gxo.com" TargetMode="External"/><Relationship Id="rId12" Type="http://schemas.openxmlformats.org/officeDocument/2006/relationships/hyperlink" Target="mailto:craig.ward@gxo.com;hannah.beavis@gxo.com;andrew.thomas002@gxo.com;Philip.Bates@gxo.com;kevin.a.jones@gxo.com;ben.copson@gxo.com;richard.harvey@gxo.com;nick.clayton@gxo.com" TargetMode="External"/><Relationship Id="rId17" Type="http://schemas.openxmlformats.org/officeDocument/2006/relationships/hyperlink" Target="mailto:GXOLichfieldMI@gxo.com" TargetMode="External"/><Relationship Id="rId2" Type="http://schemas.openxmlformats.org/officeDocument/2006/relationships/hyperlink" Target="mailto:XPOLichfieldMI@gxo.com" TargetMode="External"/><Relationship Id="rId16" Type="http://schemas.openxmlformats.org/officeDocument/2006/relationships/hyperlink" Target="mailto:GXOLichfieldShiftManagers@gxo.com" TargetMode="External"/><Relationship Id="rId20" Type="http://schemas.openxmlformats.org/officeDocument/2006/relationships/hyperlink" Target="mailto:craig.ward@gxo.com;Chris.Smith@asos.com;luke.beckham@asos.com;ben.copson@gxo.com;richard.harvey@gxo.com;nick.clayton@gxo.com;sharon.gill@gxo.com;rachael.gough@gxo.com;andrew.thomas@gxo.com;isobel.webster@gxo.com" TargetMode="External"/><Relationship Id="rId1" Type="http://schemas.openxmlformats.org/officeDocument/2006/relationships/hyperlink" Target="mailto:XPOLichfieldMI@gxo.com" TargetMode="External"/><Relationship Id="rId6" Type="http://schemas.openxmlformats.org/officeDocument/2006/relationships/hyperlink" Target="mailto:Philip.Bates@gxo.com;Chris.Smith@asos.com;GXOLichfieldShiftManagers@gxo.com;ben.copson@gxo.com;richard.harvey@gxo.com;nick.clayton@gxo.com" TargetMode="External"/><Relationship Id="rId11" Type="http://schemas.openxmlformats.org/officeDocument/2006/relationships/hyperlink" Target="mailto:XPOLichfieldMI@gxo.com" TargetMode="External"/><Relationship Id="rId5" Type="http://schemas.openxmlformats.org/officeDocument/2006/relationships/hyperlink" Target="mailto:Philip.Bates@gxo.com;XPOLichfieldShiftManagers@gxo.com;ben.copson@gxo.com;richard.harvey@gxo.com;nick.clayton@gxo.com" TargetMode="External"/><Relationship Id="rId15" Type="http://schemas.openxmlformats.org/officeDocument/2006/relationships/hyperlink" Target="mailto:ken.perritt@gxo.com;craig.ward@gxo.com;Lamin.Jallow@gxo.com;Philip.Bates@gxo.com;hannah.beavis@gxo.com;GXOLichfieldShiftManagers@gxo.com;GXOLichfieldFLM@gxo.com;ben.copson@gxo.com;richard.harvey@gxo.com;nick.clayton@gxo.com" TargetMode="External"/><Relationship Id="rId10" Type="http://schemas.openxmlformats.org/officeDocument/2006/relationships/hyperlink" Target="mailto:craig.ward@gxo.com;ben.copson@gxo.com;ben.copson@gxo.com;richard.harvey@gxo.com;nick.clayton@gxo.com;gemma.bentley@gxo.com;Louise.Copson@gxo.com" TargetMode="External"/><Relationship Id="rId19" Type="http://schemas.openxmlformats.org/officeDocument/2006/relationships/hyperlink" Target="mailto:XPOLichfieldMI@gxo.com" TargetMode="External"/><Relationship Id="rId4" Type="http://schemas.openxmlformats.org/officeDocument/2006/relationships/hyperlink" Target="mailto:XPOLichfieldMI@gxo.com" TargetMode="External"/><Relationship Id="rId9" Type="http://schemas.openxmlformats.org/officeDocument/2006/relationships/hyperlink" Target="mailto:XPOLichfieldMI@gxo.com" TargetMode="External"/><Relationship Id="rId14" Type="http://schemas.openxmlformats.org/officeDocument/2006/relationships/hyperlink" Target="mailto:ken.perritt@gxo.com;GXOLichfieldShiftManagers@gxo.com;kris.chapman@gxo.com;craig.ward@gxo.com;ben.copson@gxo.com;richard.harvey@gxo.com;nick.clayton@gxo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mailto:GXOLichfieldMI@gx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51534"/>
  </sheetPr>
  <dimension ref="A1:AA117"/>
  <sheetViews>
    <sheetView showGridLines="0" tabSelected="1" zoomScale="90" zoomScaleNormal="90" workbookViewId="0">
      <pane ySplit="2" topLeftCell="A3" activePane="bottomLeft" state="frozen"/>
      <selection pane="bottomLeft" activeCell="D13" sqref="D13"/>
    </sheetView>
  </sheetViews>
  <sheetFormatPr defaultColWidth="9.140625" defaultRowHeight="15" outlineLevelCol="1" x14ac:dyDescent="0.25"/>
  <cols>
    <col min="1" max="1" width="4.42578125" style="41" bestFit="1" customWidth="1"/>
    <col min="2" max="2" width="7.28515625" style="41" bestFit="1" customWidth="1"/>
    <col min="3" max="3" width="29.5703125" style="41" bestFit="1" customWidth="1"/>
    <col min="4" max="4" width="95.140625" style="41" customWidth="1" outlineLevel="1"/>
    <col min="5" max="5" width="49.5703125" style="41" customWidth="1" outlineLevel="1"/>
    <col min="6" max="6" width="8.5703125" style="41" customWidth="1" outlineLevel="1"/>
    <col min="7" max="7" width="8.140625" style="45" customWidth="1"/>
    <col min="8" max="8" width="32.140625" style="41" customWidth="1" outlineLevel="1"/>
    <col min="9" max="9" width="7.7109375" style="41" bestFit="1" customWidth="1"/>
    <col min="10" max="10" width="59" style="41" hidden="1" customWidth="1" outlineLevel="1"/>
    <col min="11" max="11" width="6.28515625" style="41" bestFit="1" customWidth="1" collapsed="1"/>
    <col min="12" max="12" width="7.140625" style="41" bestFit="1" customWidth="1"/>
    <col min="13" max="13" width="7" style="41" bestFit="1" customWidth="1"/>
    <col min="14" max="14" width="10.85546875" style="41" bestFit="1" customWidth="1"/>
    <col min="15" max="15" width="6" style="41" bestFit="1" customWidth="1"/>
    <col min="16" max="16" width="13.7109375" style="58" hidden="1" customWidth="1" outlineLevel="1"/>
    <col min="17" max="17" width="93.85546875" style="58" hidden="1" customWidth="1" outlineLevel="1"/>
    <col min="18" max="18" width="6" style="41" bestFit="1" customWidth="1" collapsed="1"/>
    <col min="19" max="19" width="7.140625" style="41" bestFit="1" customWidth="1"/>
    <col min="20" max="20" width="7.42578125" style="41" bestFit="1" customWidth="1"/>
    <col min="21" max="21" width="28.42578125" style="41" bestFit="1" customWidth="1"/>
    <col min="22" max="22" width="8.5703125" style="41" bestFit="1" customWidth="1"/>
    <col min="23" max="23" width="6.28515625" style="41" bestFit="1" customWidth="1"/>
    <col min="24" max="24" width="23.42578125" style="41" bestFit="1" customWidth="1"/>
    <col min="25" max="25" width="6.5703125" style="41" bestFit="1" customWidth="1"/>
    <col min="26" max="26" width="0.85546875" style="30" customWidth="1"/>
    <col min="27" max="16384" width="9.140625" style="41"/>
  </cols>
  <sheetData>
    <row r="1" spans="1:26" s="48" customFormat="1" ht="37.9" customHeight="1" x14ac:dyDescent="0.25">
      <c r="A1" s="74"/>
      <c r="B1" s="74">
        <f ca="1">TODAY()</f>
        <v>44851</v>
      </c>
      <c r="C1" s="53"/>
      <c r="D1" s="74" t="s">
        <v>366</v>
      </c>
      <c r="E1" s="74"/>
      <c r="F1" s="54"/>
      <c r="G1" s="54"/>
      <c r="H1" s="74" t="s">
        <v>368</v>
      </c>
      <c r="I1" s="74"/>
      <c r="J1" s="74"/>
      <c r="K1" s="74" t="s">
        <v>374</v>
      </c>
      <c r="L1" s="74"/>
      <c r="M1" s="74"/>
      <c r="N1" s="74"/>
      <c r="O1" s="74" t="s">
        <v>361</v>
      </c>
      <c r="P1" s="74"/>
      <c r="Q1" s="74"/>
      <c r="R1" s="74" t="s">
        <v>356</v>
      </c>
      <c r="S1" s="74"/>
      <c r="T1" s="74"/>
      <c r="U1" s="74"/>
      <c r="V1" s="74"/>
      <c r="W1" s="74"/>
      <c r="X1" s="74" t="s">
        <v>426</v>
      </c>
      <c r="Y1" s="74"/>
      <c r="Z1" s="33"/>
    </row>
    <row r="2" spans="1:26" ht="40.15" customHeight="1" x14ac:dyDescent="0.25">
      <c r="A2" s="47" t="s">
        <v>180</v>
      </c>
      <c r="B2" s="47" t="s">
        <v>183</v>
      </c>
      <c r="C2" s="47" t="s">
        <v>176</v>
      </c>
      <c r="D2" s="47" t="s">
        <v>177</v>
      </c>
      <c r="E2" s="47" t="s">
        <v>182</v>
      </c>
      <c r="F2" s="47" t="s">
        <v>363</v>
      </c>
      <c r="G2" s="47" t="s">
        <v>433</v>
      </c>
      <c r="H2" s="47" t="s">
        <v>369</v>
      </c>
      <c r="I2" s="47" t="s">
        <v>371</v>
      </c>
      <c r="J2" s="47" t="s">
        <v>370</v>
      </c>
      <c r="K2" s="47" t="s">
        <v>340</v>
      </c>
      <c r="L2" s="47" t="s">
        <v>362</v>
      </c>
      <c r="M2" s="47" t="s">
        <v>348</v>
      </c>
      <c r="N2" s="47" t="s">
        <v>349</v>
      </c>
      <c r="O2" s="47" t="s">
        <v>357</v>
      </c>
      <c r="P2" s="47" t="s">
        <v>354</v>
      </c>
      <c r="Q2" s="47" t="s">
        <v>355</v>
      </c>
      <c r="R2" s="47" t="s">
        <v>357</v>
      </c>
      <c r="S2" s="47" t="s">
        <v>358</v>
      </c>
      <c r="T2" s="47" t="s">
        <v>372</v>
      </c>
      <c r="U2" s="47" t="s">
        <v>359</v>
      </c>
      <c r="V2" s="47" t="s">
        <v>360</v>
      </c>
      <c r="W2" s="47" t="s">
        <v>344</v>
      </c>
      <c r="X2" s="47" t="s">
        <v>421</v>
      </c>
      <c r="Y2" s="47" t="s">
        <v>423</v>
      </c>
      <c r="Z2" s="33"/>
    </row>
    <row r="3" spans="1:26" x14ac:dyDescent="0.25">
      <c r="A3" s="59">
        <v>1</v>
      </c>
      <c r="B3" s="59" t="s">
        <v>297</v>
      </c>
      <c r="C3" s="59" t="s">
        <v>322</v>
      </c>
      <c r="D3" s="72" t="s">
        <v>526</v>
      </c>
      <c r="E3" s="64" t="s">
        <v>527</v>
      </c>
      <c r="F3" s="59" t="s">
        <v>352</v>
      </c>
      <c r="G3" s="60" t="s">
        <v>191</v>
      </c>
      <c r="H3" s="59" t="s">
        <v>322</v>
      </c>
      <c r="I3" s="60" t="s">
        <v>191</v>
      </c>
      <c r="J3" s="59"/>
      <c r="K3" s="60" t="s">
        <v>185</v>
      </c>
      <c r="L3" s="60" t="s">
        <v>191</v>
      </c>
      <c r="M3" s="59"/>
      <c r="N3" s="59"/>
      <c r="O3" s="60" t="s">
        <v>185</v>
      </c>
      <c r="P3" s="59" t="s">
        <v>367</v>
      </c>
      <c r="Q3" s="59" t="s">
        <v>489</v>
      </c>
      <c r="R3" s="60" t="s">
        <v>191</v>
      </c>
      <c r="S3" s="60" t="s">
        <v>191</v>
      </c>
      <c r="T3" s="60" t="s">
        <v>185</v>
      </c>
      <c r="U3" s="59" t="s">
        <v>285</v>
      </c>
      <c r="V3" s="67" t="s">
        <v>343</v>
      </c>
      <c r="W3" s="60" t="s">
        <v>191</v>
      </c>
      <c r="X3" s="59" t="s">
        <v>335</v>
      </c>
      <c r="Y3" s="60" t="s">
        <v>185</v>
      </c>
      <c r="Z3" s="33"/>
    </row>
    <row r="4" spans="1:26" x14ac:dyDescent="0.25">
      <c r="A4" s="59">
        <v>2</v>
      </c>
      <c r="B4" s="59" t="s">
        <v>298</v>
      </c>
      <c r="C4" s="59" t="s">
        <v>323</v>
      </c>
      <c r="D4" s="72" t="s">
        <v>528</v>
      </c>
      <c r="E4" s="59" t="s">
        <v>548</v>
      </c>
      <c r="F4" s="59" t="s">
        <v>352</v>
      </c>
      <c r="G4" s="60" t="s">
        <v>191</v>
      </c>
      <c r="H4" s="59" t="s">
        <v>323</v>
      </c>
      <c r="I4" s="60" t="s">
        <v>191</v>
      </c>
      <c r="J4" s="59"/>
      <c r="K4" s="60" t="s">
        <v>185</v>
      </c>
      <c r="L4" s="60" t="s">
        <v>191</v>
      </c>
      <c r="M4" s="59"/>
      <c r="N4" s="59"/>
      <c r="O4" s="60" t="s">
        <v>185</v>
      </c>
      <c r="P4" s="59" t="s">
        <v>367</v>
      </c>
      <c r="Q4" s="59" t="s">
        <v>490</v>
      </c>
      <c r="R4" s="60" t="s">
        <v>191</v>
      </c>
      <c r="S4" s="60" t="s">
        <v>191</v>
      </c>
      <c r="T4" s="60" t="s">
        <v>185</v>
      </c>
      <c r="U4" s="59"/>
      <c r="V4" s="67"/>
      <c r="W4" s="60" t="s">
        <v>191</v>
      </c>
      <c r="X4" s="59" t="s">
        <v>335</v>
      </c>
      <c r="Y4" s="60" t="s">
        <v>185</v>
      </c>
      <c r="Z4" s="33"/>
    </row>
    <row r="5" spans="1:26" x14ac:dyDescent="0.25">
      <c r="A5" s="59">
        <v>3</v>
      </c>
      <c r="B5" s="59" t="s">
        <v>299</v>
      </c>
      <c r="C5" s="59" t="s">
        <v>324</v>
      </c>
      <c r="D5" s="72" t="s">
        <v>529</v>
      </c>
      <c r="E5" s="59" t="s">
        <v>549</v>
      </c>
      <c r="F5" s="59" t="s">
        <v>352</v>
      </c>
      <c r="G5" s="60" t="s">
        <v>191</v>
      </c>
      <c r="H5" s="59" t="s">
        <v>324</v>
      </c>
      <c r="I5" s="60" t="s">
        <v>191</v>
      </c>
      <c r="J5" s="59"/>
      <c r="K5" s="60" t="s">
        <v>185</v>
      </c>
      <c r="L5" s="60" t="s">
        <v>191</v>
      </c>
      <c r="M5" s="59"/>
      <c r="N5" s="59"/>
      <c r="O5" s="60" t="s">
        <v>185</v>
      </c>
      <c r="P5" s="59" t="s">
        <v>367</v>
      </c>
      <c r="Q5" s="59" t="s">
        <v>491</v>
      </c>
      <c r="R5" s="60" t="s">
        <v>191</v>
      </c>
      <c r="S5" s="60" t="s">
        <v>191</v>
      </c>
      <c r="T5" s="60" t="s">
        <v>185</v>
      </c>
      <c r="U5" s="59"/>
      <c r="V5" s="67"/>
      <c r="W5" s="60" t="s">
        <v>191</v>
      </c>
      <c r="X5" s="59" t="s">
        <v>335</v>
      </c>
      <c r="Y5" s="60" t="s">
        <v>185</v>
      </c>
      <c r="Z5" s="33"/>
    </row>
    <row r="6" spans="1:26" x14ac:dyDescent="0.25">
      <c r="A6" s="59">
        <v>4</v>
      </c>
      <c r="B6" s="59" t="s">
        <v>300</v>
      </c>
      <c r="C6" s="59" t="s">
        <v>325</v>
      </c>
      <c r="D6" s="72" t="s">
        <v>530</v>
      </c>
      <c r="E6" s="59" t="s">
        <v>550</v>
      </c>
      <c r="F6" s="59" t="s">
        <v>352</v>
      </c>
      <c r="G6" s="60" t="s">
        <v>191</v>
      </c>
      <c r="H6" s="59" t="s">
        <v>325</v>
      </c>
      <c r="I6" s="60" t="s">
        <v>191</v>
      </c>
      <c r="J6" s="59"/>
      <c r="K6" s="60" t="s">
        <v>185</v>
      </c>
      <c r="L6" s="60" t="s">
        <v>191</v>
      </c>
      <c r="M6" s="59"/>
      <c r="N6" s="59"/>
      <c r="O6" s="60" t="s">
        <v>185</v>
      </c>
      <c r="P6" s="59" t="s">
        <v>367</v>
      </c>
      <c r="Q6" s="59" t="s">
        <v>492</v>
      </c>
      <c r="R6" s="60" t="s">
        <v>191</v>
      </c>
      <c r="S6" s="60" t="s">
        <v>191</v>
      </c>
      <c r="T6" s="60" t="s">
        <v>185</v>
      </c>
      <c r="U6" s="59"/>
      <c r="V6" s="67"/>
      <c r="W6" s="60" t="s">
        <v>191</v>
      </c>
      <c r="X6" s="59" t="s">
        <v>335</v>
      </c>
      <c r="Y6" s="60" t="s">
        <v>185</v>
      </c>
      <c r="Z6" s="33"/>
    </row>
    <row r="7" spans="1:26" x14ac:dyDescent="0.25">
      <c r="A7" s="59">
        <v>5</v>
      </c>
      <c r="B7" s="59" t="s">
        <v>301</v>
      </c>
      <c r="C7" s="59" t="s">
        <v>314</v>
      </c>
      <c r="D7" s="72" t="s">
        <v>531</v>
      </c>
      <c r="E7" s="59" t="s">
        <v>551</v>
      </c>
      <c r="F7" s="59" t="s">
        <v>352</v>
      </c>
      <c r="G7" s="60" t="s">
        <v>191</v>
      </c>
      <c r="H7" s="59" t="s">
        <v>314</v>
      </c>
      <c r="I7" s="60" t="s">
        <v>191</v>
      </c>
      <c r="J7" s="59"/>
      <c r="K7" s="60" t="s">
        <v>185</v>
      </c>
      <c r="L7" s="60" t="s">
        <v>191</v>
      </c>
      <c r="M7" s="59"/>
      <c r="N7" s="59"/>
      <c r="O7" s="60" t="s">
        <v>185</v>
      </c>
      <c r="P7" s="59" t="s">
        <v>367</v>
      </c>
      <c r="Q7" s="59" t="s">
        <v>493</v>
      </c>
      <c r="R7" s="60" t="s">
        <v>191</v>
      </c>
      <c r="S7" s="60" t="s">
        <v>191</v>
      </c>
      <c r="T7" s="60" t="s">
        <v>185</v>
      </c>
      <c r="U7" s="59"/>
      <c r="V7" s="67"/>
      <c r="W7" s="60" t="s">
        <v>191</v>
      </c>
      <c r="X7" s="59" t="s">
        <v>335</v>
      </c>
      <c r="Y7" s="60" t="s">
        <v>185</v>
      </c>
      <c r="Z7" s="33"/>
    </row>
    <row r="8" spans="1:26" x14ac:dyDescent="0.25">
      <c r="A8" s="59">
        <v>6</v>
      </c>
      <c r="B8" s="59" t="s">
        <v>302</v>
      </c>
      <c r="C8" s="59" t="s">
        <v>315</v>
      </c>
      <c r="D8" s="72" t="s">
        <v>532</v>
      </c>
      <c r="E8" s="59" t="s">
        <v>190</v>
      </c>
      <c r="F8" s="59" t="s">
        <v>352</v>
      </c>
      <c r="G8" s="60" t="s">
        <v>191</v>
      </c>
      <c r="H8" s="59" t="s">
        <v>315</v>
      </c>
      <c r="I8" s="60" t="s">
        <v>191</v>
      </c>
      <c r="J8" s="59"/>
      <c r="K8" s="60" t="s">
        <v>185</v>
      </c>
      <c r="L8" s="60" t="s">
        <v>185</v>
      </c>
      <c r="M8" s="59" t="s">
        <v>350</v>
      </c>
      <c r="N8" s="65" t="str">
        <f ca="1">TEXT(TODAY(),"yyyy-mm-dd")</f>
        <v>2022-10-17</v>
      </c>
      <c r="O8" s="60" t="s">
        <v>185</v>
      </c>
      <c r="P8" s="59" t="s">
        <v>367</v>
      </c>
      <c r="Q8" s="59" t="s">
        <v>494</v>
      </c>
      <c r="R8" s="60" t="s">
        <v>191</v>
      </c>
      <c r="S8" s="60" t="s">
        <v>191</v>
      </c>
      <c r="T8" s="60" t="s">
        <v>185</v>
      </c>
      <c r="U8" s="59"/>
      <c r="V8" s="67"/>
      <c r="W8" s="60" t="s">
        <v>191</v>
      </c>
      <c r="X8" s="59" t="s">
        <v>335</v>
      </c>
      <c r="Y8" s="60" t="s">
        <v>185</v>
      </c>
      <c r="Z8" s="33"/>
    </row>
    <row r="9" spans="1:26" x14ac:dyDescent="0.25">
      <c r="A9" s="59">
        <v>7</v>
      </c>
      <c r="B9" s="59" t="s">
        <v>303</v>
      </c>
      <c r="C9" s="59" t="s">
        <v>316</v>
      </c>
      <c r="D9" s="72" t="s">
        <v>533</v>
      </c>
      <c r="E9" s="59" t="s">
        <v>552</v>
      </c>
      <c r="F9" s="59" t="s">
        <v>352</v>
      </c>
      <c r="G9" s="60" t="s">
        <v>191</v>
      </c>
      <c r="H9" s="59" t="s">
        <v>316</v>
      </c>
      <c r="I9" s="60" t="s">
        <v>191</v>
      </c>
      <c r="J9" s="59"/>
      <c r="K9" s="60" t="s">
        <v>191</v>
      </c>
      <c r="L9" s="60" t="s">
        <v>191</v>
      </c>
      <c r="M9" s="59"/>
      <c r="N9" s="59"/>
      <c r="O9" s="60" t="s">
        <v>185</v>
      </c>
      <c r="P9" s="59" t="s">
        <v>367</v>
      </c>
      <c r="Q9" s="59" t="s">
        <v>495</v>
      </c>
      <c r="R9" s="60" t="s">
        <v>185</v>
      </c>
      <c r="S9" s="60" t="s">
        <v>191</v>
      </c>
      <c r="T9" s="60" t="s">
        <v>185</v>
      </c>
      <c r="U9" s="59" t="s">
        <v>339</v>
      </c>
      <c r="V9" s="67" t="s">
        <v>428</v>
      </c>
      <c r="W9" s="60" t="s">
        <v>191</v>
      </c>
      <c r="X9" s="59" t="s">
        <v>335</v>
      </c>
      <c r="Y9" s="60" t="s">
        <v>185</v>
      </c>
      <c r="Z9" s="33"/>
    </row>
    <row r="10" spans="1:26" x14ac:dyDescent="0.25">
      <c r="A10" s="59">
        <v>8</v>
      </c>
      <c r="B10" s="59" t="s">
        <v>304</v>
      </c>
      <c r="C10" s="59" t="s">
        <v>317</v>
      </c>
      <c r="D10" s="72" t="s">
        <v>534</v>
      </c>
      <c r="E10" s="59" t="s">
        <v>194</v>
      </c>
      <c r="F10" s="59" t="s">
        <v>352</v>
      </c>
      <c r="G10" s="60" t="s">
        <v>191</v>
      </c>
      <c r="H10" s="59" t="s">
        <v>317</v>
      </c>
      <c r="I10" s="60" t="s">
        <v>191</v>
      </c>
      <c r="J10" s="59"/>
      <c r="K10" s="60" t="s">
        <v>185</v>
      </c>
      <c r="L10" s="60" t="s">
        <v>185</v>
      </c>
      <c r="M10" s="59" t="s">
        <v>350</v>
      </c>
      <c r="N10" s="65" t="str">
        <f ca="1">TEXT(TODAY(),"yyyy-mm-dd")</f>
        <v>2022-10-17</v>
      </c>
      <c r="O10" s="60" t="s">
        <v>185</v>
      </c>
      <c r="P10" s="59" t="s">
        <v>367</v>
      </c>
      <c r="Q10" s="59" t="s">
        <v>496</v>
      </c>
      <c r="R10" s="60" t="s">
        <v>191</v>
      </c>
      <c r="S10" s="60" t="s">
        <v>191</v>
      </c>
      <c r="T10" s="60" t="s">
        <v>185</v>
      </c>
      <c r="U10" s="59" t="s">
        <v>338</v>
      </c>
      <c r="V10" s="67"/>
      <c r="W10" s="60" t="s">
        <v>191</v>
      </c>
      <c r="X10" s="59" t="s">
        <v>335</v>
      </c>
      <c r="Y10" s="60" t="s">
        <v>185</v>
      </c>
      <c r="Z10" s="33"/>
    </row>
    <row r="11" spans="1:26" x14ac:dyDescent="0.25">
      <c r="A11" s="59">
        <v>9</v>
      </c>
      <c r="B11" s="59" t="s">
        <v>305</v>
      </c>
      <c r="C11" s="59" t="s">
        <v>318</v>
      </c>
      <c r="D11" s="72" t="s">
        <v>535</v>
      </c>
      <c r="E11" s="59" t="s">
        <v>196</v>
      </c>
      <c r="F11" s="59" t="s">
        <v>352</v>
      </c>
      <c r="G11" s="60" t="s">
        <v>191</v>
      </c>
      <c r="H11" s="59" t="s">
        <v>318</v>
      </c>
      <c r="I11" s="60" t="s">
        <v>191</v>
      </c>
      <c r="J11" s="59"/>
      <c r="K11" s="60" t="s">
        <v>185</v>
      </c>
      <c r="L11" s="60" t="s">
        <v>185</v>
      </c>
      <c r="M11" s="59" t="s">
        <v>350</v>
      </c>
      <c r="N11" s="65" t="str">
        <f ca="1">TEXT(TODAY(),"yyyy-mm-dd")</f>
        <v>2022-10-17</v>
      </c>
      <c r="O11" s="60" t="s">
        <v>185</v>
      </c>
      <c r="P11" s="59" t="s">
        <v>367</v>
      </c>
      <c r="Q11" s="59" t="s">
        <v>497</v>
      </c>
      <c r="R11" s="60" t="s">
        <v>191</v>
      </c>
      <c r="S11" s="60" t="s">
        <v>191</v>
      </c>
      <c r="T11" s="60" t="s">
        <v>185</v>
      </c>
      <c r="U11" s="59" t="s">
        <v>338</v>
      </c>
      <c r="V11" s="67"/>
      <c r="W11" s="60" t="s">
        <v>191</v>
      </c>
      <c r="X11" s="59" t="s">
        <v>335</v>
      </c>
      <c r="Y11" s="60" t="s">
        <v>185</v>
      </c>
      <c r="Z11" s="33"/>
    </row>
    <row r="12" spans="1:26" x14ac:dyDescent="0.25">
      <c r="A12" s="59">
        <v>10</v>
      </c>
      <c r="B12" s="59" t="s">
        <v>306</v>
      </c>
      <c r="C12" s="59" t="s">
        <v>319</v>
      </c>
      <c r="D12" s="72" t="s">
        <v>536</v>
      </c>
      <c r="E12" s="59" t="s">
        <v>553</v>
      </c>
      <c r="F12" s="59" t="s">
        <v>352</v>
      </c>
      <c r="G12" s="60" t="s">
        <v>191</v>
      </c>
      <c r="H12" s="59" t="s">
        <v>319</v>
      </c>
      <c r="I12" s="60" t="s">
        <v>191</v>
      </c>
      <c r="J12" s="59"/>
      <c r="K12" s="60" t="s">
        <v>185</v>
      </c>
      <c r="L12" s="60" t="s">
        <v>191</v>
      </c>
      <c r="M12" s="59"/>
      <c r="N12" s="65"/>
      <c r="O12" s="60" t="s">
        <v>185</v>
      </c>
      <c r="P12" s="59" t="s">
        <v>367</v>
      </c>
      <c r="Q12" s="59" t="s">
        <v>498</v>
      </c>
      <c r="R12" s="60" t="s">
        <v>191</v>
      </c>
      <c r="S12" s="60" t="s">
        <v>191</v>
      </c>
      <c r="T12" s="60" t="s">
        <v>185</v>
      </c>
      <c r="U12" s="59"/>
      <c r="V12" s="67"/>
      <c r="W12" s="60" t="s">
        <v>191</v>
      </c>
      <c r="X12" s="59" t="s">
        <v>335</v>
      </c>
      <c r="Y12" s="60" t="s">
        <v>185</v>
      </c>
      <c r="Z12" s="33"/>
    </row>
    <row r="13" spans="1:26" x14ac:dyDescent="0.25">
      <c r="A13" s="59">
        <v>11</v>
      </c>
      <c r="B13" s="59" t="s">
        <v>307</v>
      </c>
      <c r="C13" s="59" t="s">
        <v>320</v>
      </c>
      <c r="D13" s="72" t="s">
        <v>537</v>
      </c>
      <c r="E13" s="59" t="s">
        <v>557</v>
      </c>
      <c r="F13" s="59" t="s">
        <v>352</v>
      </c>
      <c r="G13" s="60" t="s">
        <v>191</v>
      </c>
      <c r="H13" s="59" t="s">
        <v>320</v>
      </c>
      <c r="I13" s="60" t="s">
        <v>191</v>
      </c>
      <c r="J13" s="59"/>
      <c r="K13" s="60" t="s">
        <v>185</v>
      </c>
      <c r="L13" s="60" t="s">
        <v>191</v>
      </c>
      <c r="M13" s="59"/>
      <c r="N13" s="59"/>
      <c r="O13" s="60" t="s">
        <v>185</v>
      </c>
      <c r="P13" s="59" t="s">
        <v>367</v>
      </c>
      <c r="Q13" s="59" t="s">
        <v>499</v>
      </c>
      <c r="R13" s="60" t="s">
        <v>191</v>
      </c>
      <c r="S13" s="60" t="s">
        <v>191</v>
      </c>
      <c r="T13" s="60" t="s">
        <v>185</v>
      </c>
      <c r="U13" s="59"/>
      <c r="V13" s="67"/>
      <c r="W13" s="60" t="s">
        <v>191</v>
      </c>
      <c r="X13" s="59" t="s">
        <v>335</v>
      </c>
      <c r="Y13" s="60" t="s">
        <v>185</v>
      </c>
      <c r="Z13" s="33"/>
    </row>
    <row r="14" spans="1:26" x14ac:dyDescent="0.25">
      <c r="A14" s="59">
        <v>27</v>
      </c>
      <c r="B14" s="59" t="s">
        <v>454</v>
      </c>
      <c r="C14" s="59" t="s">
        <v>464</v>
      </c>
      <c r="D14" s="72" t="s">
        <v>541</v>
      </c>
      <c r="E14" s="59" t="s">
        <v>558</v>
      </c>
      <c r="F14" s="59" t="s">
        <v>352</v>
      </c>
      <c r="G14" s="60" t="s">
        <v>191</v>
      </c>
      <c r="H14" s="59" t="s">
        <v>465</v>
      </c>
      <c r="I14" s="60" t="s">
        <v>185</v>
      </c>
      <c r="J14" s="59" t="str">
        <f ca="1">_xlfn.CONCAT("GXO/ASOS Lichfield Order Consolidation ",TEXT(TODAY(),"dd-mm-yyyy"))</f>
        <v>GXO/ASOS Lichfield Order Consolidation 17-10-2022</v>
      </c>
      <c r="K14" s="60" t="s">
        <v>185</v>
      </c>
      <c r="L14" s="60" t="s">
        <v>191</v>
      </c>
      <c r="M14" s="59"/>
      <c r="N14" s="65"/>
      <c r="O14" s="60" t="s">
        <v>185</v>
      </c>
      <c r="P14" s="59" t="s">
        <v>367</v>
      </c>
      <c r="Q14" s="59" t="s">
        <v>466</v>
      </c>
      <c r="R14" s="60" t="s">
        <v>191</v>
      </c>
      <c r="S14" s="60" t="s">
        <v>191</v>
      </c>
      <c r="T14" s="60" t="s">
        <v>185</v>
      </c>
      <c r="U14" s="59"/>
      <c r="V14" s="59"/>
      <c r="W14" s="60"/>
      <c r="X14" s="59" t="s">
        <v>335</v>
      </c>
      <c r="Y14" s="60" t="s">
        <v>185</v>
      </c>
      <c r="Z14" s="33"/>
    </row>
    <row r="15" spans="1:26" x14ac:dyDescent="0.25">
      <c r="A15" s="59">
        <v>17</v>
      </c>
      <c r="B15" s="59" t="s">
        <v>414</v>
      </c>
      <c r="C15" s="59" t="s">
        <v>401</v>
      </c>
      <c r="D15" s="72" t="s">
        <v>563</v>
      </c>
      <c r="E15" s="59" t="s">
        <v>567</v>
      </c>
      <c r="F15" s="59" t="s">
        <v>395</v>
      </c>
      <c r="G15" s="60" t="s">
        <v>191</v>
      </c>
      <c r="H15" s="59" t="s">
        <v>401</v>
      </c>
      <c r="I15" s="60" t="s">
        <v>191</v>
      </c>
      <c r="J15" s="59"/>
      <c r="K15" s="60" t="s">
        <v>191</v>
      </c>
      <c r="L15" s="60" t="s">
        <v>191</v>
      </c>
      <c r="M15" s="59"/>
      <c r="N15" s="65"/>
      <c r="O15" s="60" t="s">
        <v>185</v>
      </c>
      <c r="P15" s="59" t="s">
        <v>367</v>
      </c>
      <c r="Q15" s="59" t="s">
        <v>500</v>
      </c>
      <c r="R15" s="60" t="s">
        <v>185</v>
      </c>
      <c r="S15" s="60" t="s">
        <v>191</v>
      </c>
      <c r="T15" s="60" t="s">
        <v>185</v>
      </c>
      <c r="U15" s="59" t="s">
        <v>399</v>
      </c>
      <c r="V15" s="67" t="s">
        <v>400</v>
      </c>
      <c r="W15" s="60" t="s">
        <v>191</v>
      </c>
      <c r="X15" s="59" t="s">
        <v>335</v>
      </c>
      <c r="Y15" s="60" t="s">
        <v>185</v>
      </c>
      <c r="Z15" s="33"/>
    </row>
    <row r="16" spans="1:26" x14ac:dyDescent="0.25">
      <c r="A16" s="59">
        <v>12</v>
      </c>
      <c r="B16" s="62" t="s">
        <v>309</v>
      </c>
      <c r="C16" s="59" t="s">
        <v>313</v>
      </c>
      <c r="D16" s="72" t="s">
        <v>546</v>
      </c>
      <c r="E16" s="59" t="s">
        <v>562</v>
      </c>
      <c r="F16" s="59" t="s">
        <v>352</v>
      </c>
      <c r="G16" s="60" t="s">
        <v>191</v>
      </c>
      <c r="H16" s="62" t="s">
        <v>336</v>
      </c>
      <c r="I16" s="60" t="s">
        <v>185</v>
      </c>
      <c r="J16" s="62" t="str">
        <f ca="1">IF(ISNUMBER(SEARCH("INTERNAL",H16)),_xlfn.CONCAT("INTERNAL CHECK ","GXO/ASOS Lichfield FC Site Review Report ",TEXT(TODAY(),"dd-mm-yyyy")),_xlfn.CONCAT("GXO/ASOS Lichfield FC Site Review Report ",TEXT(TODAY(),"dd-mm-yyyy")))</f>
        <v>GXO/ASOS Lichfield FC Site Review Report 17-10-2022</v>
      </c>
      <c r="K16" s="60" t="s">
        <v>191</v>
      </c>
      <c r="L16" s="60" t="s">
        <v>191</v>
      </c>
      <c r="M16" s="62"/>
      <c r="N16" s="62"/>
      <c r="O16" s="60" t="s">
        <v>185</v>
      </c>
      <c r="P16" s="59" t="s">
        <v>367</v>
      </c>
      <c r="Q16" s="59" t="s">
        <v>501</v>
      </c>
      <c r="R16" s="60" t="s">
        <v>185</v>
      </c>
      <c r="S16" s="60" t="s">
        <v>185</v>
      </c>
      <c r="T16" s="60" t="s">
        <v>191</v>
      </c>
      <c r="U16" s="62" t="s">
        <v>341</v>
      </c>
      <c r="V16" s="68" t="s">
        <v>342</v>
      </c>
      <c r="W16" s="60" t="s">
        <v>191</v>
      </c>
      <c r="X16" s="59" t="s">
        <v>335</v>
      </c>
      <c r="Y16" s="60" t="s">
        <v>185</v>
      </c>
      <c r="Z16" s="33"/>
    </row>
    <row r="17" spans="1:26" x14ac:dyDescent="0.25">
      <c r="A17" s="59">
        <v>13</v>
      </c>
      <c r="B17" s="59" t="s">
        <v>310</v>
      </c>
      <c r="C17" s="59" t="s">
        <v>432</v>
      </c>
      <c r="D17" s="72" t="s">
        <v>538</v>
      </c>
      <c r="E17" s="59" t="s">
        <v>294</v>
      </c>
      <c r="F17" s="59" t="s">
        <v>352</v>
      </c>
      <c r="G17" s="60" t="s">
        <v>191</v>
      </c>
      <c r="H17" s="59" t="s">
        <v>312</v>
      </c>
      <c r="I17" s="60" t="s">
        <v>191</v>
      </c>
      <c r="J17" s="59"/>
      <c r="K17" s="60" t="s">
        <v>185</v>
      </c>
      <c r="L17" s="60" t="s">
        <v>185</v>
      </c>
      <c r="M17" s="59" t="s">
        <v>350</v>
      </c>
      <c r="N17" s="65" t="str">
        <f ca="1">TEXT(TODAY(),"yyyy-mm-dd")</f>
        <v>2022-10-17</v>
      </c>
      <c r="O17" s="60" t="s">
        <v>185</v>
      </c>
      <c r="P17" s="59" t="s">
        <v>367</v>
      </c>
      <c r="Q17" s="59" t="s">
        <v>407</v>
      </c>
      <c r="R17" s="60" t="s">
        <v>191</v>
      </c>
      <c r="S17" s="60" t="s">
        <v>191</v>
      </c>
      <c r="T17" s="60" t="s">
        <v>185</v>
      </c>
      <c r="U17" s="59" t="s">
        <v>338</v>
      </c>
      <c r="V17" s="67"/>
      <c r="W17" s="60" t="s">
        <v>185</v>
      </c>
      <c r="X17" s="59" t="s">
        <v>335</v>
      </c>
      <c r="Y17" s="60" t="s">
        <v>185</v>
      </c>
      <c r="Z17" s="33"/>
    </row>
    <row r="18" spans="1:26" x14ac:dyDescent="0.25">
      <c r="A18" s="59">
        <v>14</v>
      </c>
      <c r="B18" s="59" t="s">
        <v>310</v>
      </c>
      <c r="C18" s="59" t="s">
        <v>384</v>
      </c>
      <c r="D18" s="72" t="s">
        <v>538</v>
      </c>
      <c r="E18" s="59" t="s">
        <v>365</v>
      </c>
      <c r="F18" s="59" t="s">
        <v>352</v>
      </c>
      <c r="G18" s="60" t="s">
        <v>191</v>
      </c>
      <c r="H18" s="59" t="s">
        <v>312</v>
      </c>
      <c r="I18" s="60" t="s">
        <v>191</v>
      </c>
      <c r="J18" s="59"/>
      <c r="K18" s="60" t="s">
        <v>191</v>
      </c>
      <c r="L18" s="60" t="s">
        <v>185</v>
      </c>
      <c r="M18" s="59" t="s">
        <v>350</v>
      </c>
      <c r="N18" s="65" t="str">
        <f ca="1">TEXT(TODAY(),"yyyy-mm-dd")</f>
        <v>2022-10-17</v>
      </c>
      <c r="O18" s="60" t="s">
        <v>191</v>
      </c>
      <c r="P18" s="59" t="s">
        <v>367</v>
      </c>
      <c r="Q18" s="59" t="s">
        <v>502</v>
      </c>
      <c r="R18" s="60" t="s">
        <v>191</v>
      </c>
      <c r="S18" s="60" t="s">
        <v>191</v>
      </c>
      <c r="T18" s="60" t="s">
        <v>185</v>
      </c>
      <c r="U18" s="59" t="s">
        <v>338</v>
      </c>
      <c r="V18" s="67"/>
      <c r="W18" s="60" t="s">
        <v>191</v>
      </c>
      <c r="X18" s="59" t="s">
        <v>335</v>
      </c>
      <c r="Y18" s="60" t="s">
        <v>185</v>
      </c>
      <c r="Z18" s="33"/>
    </row>
    <row r="19" spans="1:26" x14ac:dyDescent="0.25">
      <c r="A19" s="59">
        <v>15</v>
      </c>
      <c r="B19" s="62" t="s">
        <v>310</v>
      </c>
      <c r="C19" s="59" t="s">
        <v>383</v>
      </c>
      <c r="D19" s="72" t="s">
        <v>539</v>
      </c>
      <c r="E19" s="59" t="s">
        <v>408</v>
      </c>
      <c r="F19" s="59" t="s">
        <v>352</v>
      </c>
      <c r="G19" s="60" t="s">
        <v>191</v>
      </c>
      <c r="H19" s="62" t="s">
        <v>381</v>
      </c>
      <c r="I19" s="60" t="s">
        <v>191</v>
      </c>
      <c r="J19" s="59"/>
      <c r="K19" s="60" t="s">
        <v>191</v>
      </c>
      <c r="L19" s="60" t="s">
        <v>185</v>
      </c>
      <c r="M19" s="59" t="s">
        <v>350</v>
      </c>
      <c r="N19" s="65" t="str">
        <f ca="1">TEXT(TODAY(),"yyyy-mm-dd")</f>
        <v>2022-10-17</v>
      </c>
      <c r="O19" s="60" t="s">
        <v>185</v>
      </c>
      <c r="P19" s="59" t="s">
        <v>367</v>
      </c>
      <c r="Q19" s="59" t="s">
        <v>503</v>
      </c>
      <c r="R19" s="60" t="s">
        <v>185</v>
      </c>
      <c r="S19" s="60" t="s">
        <v>191</v>
      </c>
      <c r="T19" s="60" t="s">
        <v>185</v>
      </c>
      <c r="U19" s="59" t="s">
        <v>385</v>
      </c>
      <c r="V19" s="67" t="s">
        <v>386</v>
      </c>
      <c r="W19" s="60" t="s">
        <v>191</v>
      </c>
      <c r="X19" s="59" t="s">
        <v>335</v>
      </c>
      <c r="Y19" s="60" t="s">
        <v>185</v>
      </c>
      <c r="Z19" s="33"/>
    </row>
    <row r="20" spans="1:26" x14ac:dyDescent="0.25">
      <c r="A20" s="59">
        <v>16</v>
      </c>
      <c r="B20" s="59" t="s">
        <v>413</v>
      </c>
      <c r="C20" s="59" t="s">
        <v>396</v>
      </c>
      <c r="D20" s="72" t="s">
        <v>564</v>
      </c>
      <c r="E20" s="59" t="s">
        <v>568</v>
      </c>
      <c r="F20" s="59" t="s">
        <v>395</v>
      </c>
      <c r="G20" s="60" t="s">
        <v>191</v>
      </c>
      <c r="H20" s="59" t="s">
        <v>396</v>
      </c>
      <c r="I20" s="60" t="s">
        <v>191</v>
      </c>
      <c r="J20" s="59"/>
      <c r="K20" s="60" t="s">
        <v>191</v>
      </c>
      <c r="L20" s="60" t="s">
        <v>191</v>
      </c>
      <c r="M20" s="59"/>
      <c r="N20" s="65"/>
      <c r="O20" s="60" t="s">
        <v>185</v>
      </c>
      <c r="P20" s="59" t="s">
        <v>367</v>
      </c>
      <c r="Q20" s="59" t="s">
        <v>504</v>
      </c>
      <c r="R20" s="60" t="s">
        <v>185</v>
      </c>
      <c r="S20" s="60" t="s">
        <v>191</v>
      </c>
      <c r="T20" s="60" t="s">
        <v>185</v>
      </c>
      <c r="U20" s="59" t="s">
        <v>397</v>
      </c>
      <c r="V20" s="67" t="s">
        <v>398</v>
      </c>
      <c r="W20" s="60" t="s">
        <v>191</v>
      </c>
      <c r="X20" s="59" t="s">
        <v>335</v>
      </c>
      <c r="Y20" s="60" t="s">
        <v>185</v>
      </c>
      <c r="Z20" s="33"/>
    </row>
    <row r="21" spans="1:26" x14ac:dyDescent="0.25">
      <c r="A21" s="59">
        <v>17</v>
      </c>
      <c r="B21" s="62" t="s">
        <v>478</v>
      </c>
      <c r="C21" s="59" t="s">
        <v>480</v>
      </c>
      <c r="D21" s="72" t="s">
        <v>543</v>
      </c>
      <c r="E21" s="59" t="s">
        <v>571</v>
      </c>
      <c r="F21" s="59"/>
      <c r="G21" s="60" t="s">
        <v>191</v>
      </c>
      <c r="H21" s="59" t="s">
        <v>474</v>
      </c>
      <c r="I21" s="60" t="s">
        <v>185</v>
      </c>
      <c r="J21" s="59" t="str">
        <f ca="1">_xlfn.CONCAT("GXO/ASOS Lichfield"," ","Outstanding Putaway ",TEXT(TODAY(),"dd-mm-yyyy"))</f>
        <v>GXO/ASOS Lichfield Outstanding Putaway 17-10-2022</v>
      </c>
      <c r="K21" s="60" t="s">
        <v>185</v>
      </c>
      <c r="L21" s="60" t="s">
        <v>191</v>
      </c>
      <c r="M21" s="59" t="s">
        <v>350</v>
      </c>
      <c r="N21" s="65" t="str">
        <f ca="1">TEXT(TODAY(),"yyyy-mm-dd")</f>
        <v>2022-10-17</v>
      </c>
      <c r="O21" s="60" t="s">
        <v>185</v>
      </c>
      <c r="P21" s="59" t="s">
        <v>367</v>
      </c>
      <c r="Q21" s="59" t="s">
        <v>523</v>
      </c>
      <c r="R21" s="60" t="s">
        <v>191</v>
      </c>
      <c r="S21" s="60" t="s">
        <v>191</v>
      </c>
      <c r="T21" s="60" t="s">
        <v>185</v>
      </c>
      <c r="U21" s="59"/>
      <c r="V21" s="59"/>
      <c r="W21" s="60"/>
      <c r="X21" s="59" t="s">
        <v>335</v>
      </c>
      <c r="Y21" s="60" t="s">
        <v>185</v>
      </c>
      <c r="Z21" s="33"/>
    </row>
    <row r="22" spans="1:26" x14ac:dyDescent="0.25">
      <c r="A22" s="59">
        <v>18</v>
      </c>
      <c r="B22" s="62" t="s">
        <v>482</v>
      </c>
      <c r="C22" s="59" t="s">
        <v>485</v>
      </c>
      <c r="D22" s="72" t="s">
        <v>544</v>
      </c>
      <c r="E22" s="59" t="s">
        <v>560</v>
      </c>
      <c r="F22" s="59" t="s">
        <v>352</v>
      </c>
      <c r="G22" s="60" t="s">
        <v>191</v>
      </c>
      <c r="H22" s="59" t="s">
        <v>474</v>
      </c>
      <c r="I22" s="60" t="s">
        <v>185</v>
      </c>
      <c r="J22" s="59" t="str">
        <f ca="1">_xlfn.CONCAT("GXO/ASOS Lichfield"," ","IWT Putaway Dwell Time ",TEXT(TODAY(),"dd-mm-yyyy"))</f>
        <v>GXO/ASOS Lichfield IWT Putaway Dwell Time 17-10-2022</v>
      </c>
      <c r="K22" s="60" t="s">
        <v>185</v>
      </c>
      <c r="L22" s="60" t="s">
        <v>191</v>
      </c>
      <c r="M22" s="59" t="s">
        <v>350</v>
      </c>
      <c r="N22" s="65" t="str">
        <f t="shared" ref="N22:N27" ca="1" si="0">TEXT(TODAY(),"yyyy-mm-dd")</f>
        <v>2022-10-17</v>
      </c>
      <c r="O22" s="60" t="s">
        <v>185</v>
      </c>
      <c r="P22" s="59" t="s">
        <v>367</v>
      </c>
      <c r="Q22" s="59" t="s">
        <v>524</v>
      </c>
      <c r="R22" s="60" t="s">
        <v>191</v>
      </c>
      <c r="S22" s="60" t="s">
        <v>191</v>
      </c>
      <c r="T22" s="60" t="s">
        <v>185</v>
      </c>
      <c r="U22" s="59"/>
      <c r="V22" s="59"/>
      <c r="W22" s="60"/>
      <c r="X22" s="59" t="s">
        <v>335</v>
      </c>
      <c r="Y22" s="60" t="s">
        <v>185</v>
      </c>
      <c r="Z22" s="33"/>
    </row>
    <row r="23" spans="1:26" x14ac:dyDescent="0.25">
      <c r="A23" s="59">
        <v>19</v>
      </c>
      <c r="B23" s="62" t="s">
        <v>486</v>
      </c>
      <c r="C23" s="59" t="s">
        <v>487</v>
      </c>
      <c r="D23" s="72" t="s">
        <v>545</v>
      </c>
      <c r="E23" s="59" t="s">
        <v>561</v>
      </c>
      <c r="F23" s="59" t="s">
        <v>352</v>
      </c>
      <c r="G23" s="60" t="s">
        <v>191</v>
      </c>
      <c r="H23" s="59" t="s">
        <v>474</v>
      </c>
      <c r="I23" s="60" t="s">
        <v>185</v>
      </c>
      <c r="J23" s="59" t="str">
        <f ca="1">_xlfn.CONCAT("GXO/ASOS Lichfield"," ","Short Shipments ",TEXT(TODAY(),"dd-mm-yyyy"))</f>
        <v>GXO/ASOS Lichfield Short Shipments 17-10-2022</v>
      </c>
      <c r="K23" s="60" t="s">
        <v>191</v>
      </c>
      <c r="L23" s="60" t="s">
        <v>191</v>
      </c>
      <c r="M23" s="59" t="s">
        <v>350</v>
      </c>
      <c r="N23" s="65" t="str">
        <f t="shared" ca="1" si="0"/>
        <v>2022-10-17</v>
      </c>
      <c r="O23" s="60" t="s">
        <v>185</v>
      </c>
      <c r="P23" s="59" t="s">
        <v>367</v>
      </c>
      <c r="Q23" s="59" t="s">
        <v>525</v>
      </c>
      <c r="R23" s="60" t="s">
        <v>185</v>
      </c>
      <c r="S23" s="60" t="s">
        <v>185</v>
      </c>
      <c r="T23" s="60" t="s">
        <v>191</v>
      </c>
      <c r="U23" s="59" t="s">
        <v>572</v>
      </c>
      <c r="V23" s="59" t="s">
        <v>573</v>
      </c>
      <c r="W23" s="60"/>
      <c r="X23" s="59" t="s">
        <v>335</v>
      </c>
      <c r="Y23" s="60" t="s">
        <v>185</v>
      </c>
      <c r="Z23" s="33"/>
    </row>
    <row r="24" spans="1:26" hidden="1" x14ac:dyDescent="0.25">
      <c r="A24" s="59">
        <v>20</v>
      </c>
      <c r="B24" s="59"/>
      <c r="C24" s="59"/>
      <c r="D24" s="72"/>
      <c r="E24" s="59"/>
      <c r="F24" s="59"/>
      <c r="G24" s="60" t="s">
        <v>191</v>
      </c>
      <c r="H24" s="59"/>
      <c r="I24" s="60"/>
      <c r="J24" s="59"/>
      <c r="K24" s="60"/>
      <c r="L24" s="60"/>
      <c r="M24" s="59"/>
      <c r="N24" s="65" t="str">
        <f t="shared" ca="1" si="0"/>
        <v>2022-10-17</v>
      </c>
      <c r="O24" s="60"/>
      <c r="P24" s="59"/>
      <c r="Q24" s="59"/>
      <c r="R24" s="60"/>
      <c r="S24" s="60"/>
      <c r="T24" s="60"/>
      <c r="U24" s="59"/>
      <c r="V24" s="67"/>
      <c r="W24" s="60"/>
      <c r="X24" s="59"/>
      <c r="Y24" s="60"/>
      <c r="Z24" s="33"/>
    </row>
    <row r="25" spans="1:26" hidden="1" x14ac:dyDescent="0.25">
      <c r="A25" s="59">
        <v>21</v>
      </c>
      <c r="B25" s="59"/>
      <c r="C25" s="59"/>
      <c r="D25" s="72"/>
      <c r="E25" s="59"/>
      <c r="F25" s="59"/>
      <c r="G25" s="60" t="s">
        <v>191</v>
      </c>
      <c r="H25" s="59"/>
      <c r="I25" s="60"/>
      <c r="J25" s="59"/>
      <c r="K25" s="60"/>
      <c r="L25" s="60"/>
      <c r="M25" s="59"/>
      <c r="N25" s="65" t="str">
        <f t="shared" ca="1" si="0"/>
        <v>2022-10-17</v>
      </c>
      <c r="O25" s="60"/>
      <c r="P25" s="59"/>
      <c r="Q25" s="59"/>
      <c r="R25" s="60"/>
      <c r="S25" s="60"/>
      <c r="T25" s="60"/>
      <c r="U25" s="59"/>
      <c r="V25" s="67"/>
      <c r="W25" s="60"/>
      <c r="X25" s="59"/>
      <c r="Y25" s="60"/>
      <c r="Z25" s="33"/>
    </row>
    <row r="26" spans="1:26" hidden="1" x14ac:dyDescent="0.25">
      <c r="A26" s="59">
        <v>22</v>
      </c>
      <c r="B26" s="59"/>
      <c r="C26" s="59"/>
      <c r="D26" s="72"/>
      <c r="E26" s="59"/>
      <c r="F26" s="59"/>
      <c r="G26" s="60" t="s">
        <v>191</v>
      </c>
      <c r="H26" s="59"/>
      <c r="I26" s="60"/>
      <c r="J26" s="59"/>
      <c r="K26" s="60"/>
      <c r="L26" s="60"/>
      <c r="M26" s="59"/>
      <c r="N26" s="65" t="str">
        <f t="shared" ca="1" si="0"/>
        <v>2022-10-17</v>
      </c>
      <c r="O26" s="60"/>
      <c r="P26" s="59"/>
      <c r="Q26" s="59"/>
      <c r="R26" s="60"/>
      <c r="S26" s="60"/>
      <c r="T26" s="60"/>
      <c r="U26" s="59"/>
      <c r="V26" s="67"/>
      <c r="W26" s="60"/>
      <c r="X26" s="59"/>
      <c r="Y26" s="60"/>
      <c r="Z26" s="33"/>
    </row>
    <row r="27" spans="1:26" x14ac:dyDescent="0.25">
      <c r="A27" s="59">
        <v>23</v>
      </c>
      <c r="B27" s="62" t="s">
        <v>309</v>
      </c>
      <c r="C27" s="59" t="s">
        <v>415</v>
      </c>
      <c r="D27" s="72" t="s">
        <v>546</v>
      </c>
      <c r="E27" s="59" t="s">
        <v>562</v>
      </c>
      <c r="F27" s="59" t="s">
        <v>352</v>
      </c>
      <c r="G27" s="60" t="s">
        <v>191</v>
      </c>
      <c r="H27" s="62" t="s">
        <v>415</v>
      </c>
      <c r="I27" s="60" t="s">
        <v>185</v>
      </c>
      <c r="J27" s="59" t="str">
        <f ca="1">_xlfn.CONCAT("GXO/ASOS Lichfield Weekly FC Review WK",Dates!$K$12)</f>
        <v>GXO/ASOS Lichfield Weekly FC Review WK7</v>
      </c>
      <c r="K27" s="60" t="s">
        <v>191</v>
      </c>
      <c r="L27" s="60" t="s">
        <v>191</v>
      </c>
      <c r="M27" s="62"/>
      <c r="N27" s="65" t="str">
        <f t="shared" ca="1" si="0"/>
        <v>2022-10-17</v>
      </c>
      <c r="O27" s="60" t="s">
        <v>185</v>
      </c>
      <c r="P27" s="62" t="s">
        <v>367</v>
      </c>
      <c r="Q27" s="62" t="s">
        <v>505</v>
      </c>
      <c r="R27" s="60" t="s">
        <v>185</v>
      </c>
      <c r="S27" s="60" t="s">
        <v>191</v>
      </c>
      <c r="T27" s="60" t="s">
        <v>191</v>
      </c>
      <c r="U27" s="62" t="s">
        <v>403</v>
      </c>
      <c r="V27" s="68" t="s">
        <v>404</v>
      </c>
      <c r="W27" s="60" t="s">
        <v>191</v>
      </c>
      <c r="X27" s="59" t="s">
        <v>335</v>
      </c>
      <c r="Y27" s="60" t="s">
        <v>185</v>
      </c>
      <c r="Z27" s="33"/>
    </row>
    <row r="28" spans="1:26" hidden="1" x14ac:dyDescent="0.25">
      <c r="A28" s="59">
        <v>24</v>
      </c>
      <c r="B28" s="62" t="s">
        <v>309</v>
      </c>
      <c r="C28" s="59" t="s">
        <v>427</v>
      </c>
      <c r="D28" s="72" t="s">
        <v>546</v>
      </c>
      <c r="E28" s="59" t="s">
        <v>562</v>
      </c>
      <c r="F28" s="59" t="s">
        <v>352</v>
      </c>
      <c r="G28" s="60" t="s">
        <v>191</v>
      </c>
      <c r="H28" s="62" t="s">
        <v>417</v>
      </c>
      <c r="I28" s="60" t="s">
        <v>185</v>
      </c>
      <c r="J28" s="59" t="str">
        <f ca="1">_xlfn.CONCAT("GXO/ASOS Lichfield Weekly FC Monday Report WK",Dates!$K$12)</f>
        <v>GXO/ASOS Lichfield Weekly FC Monday Report WK7</v>
      </c>
      <c r="K28" s="60" t="s">
        <v>191</v>
      </c>
      <c r="L28" s="60" t="s">
        <v>191</v>
      </c>
      <c r="M28" s="62" t="s">
        <v>350</v>
      </c>
      <c r="N28" s="66" t="str">
        <f t="shared" ref="N28:N31" ca="1" si="1">TEXT(TODAY(),"yyyy-mm-dd")</f>
        <v>2022-10-17</v>
      </c>
      <c r="O28" s="60" t="s">
        <v>185</v>
      </c>
      <c r="P28" s="62" t="s">
        <v>367</v>
      </c>
      <c r="Q28" s="62" t="s">
        <v>506</v>
      </c>
      <c r="R28" s="60" t="s">
        <v>185</v>
      </c>
      <c r="S28" s="60" t="s">
        <v>185</v>
      </c>
      <c r="T28" s="60" t="s">
        <v>191</v>
      </c>
      <c r="U28" s="62" t="s">
        <v>410</v>
      </c>
      <c r="V28" s="68" t="s">
        <v>411</v>
      </c>
      <c r="W28" s="60" t="s">
        <v>191</v>
      </c>
      <c r="X28" s="59" t="s">
        <v>335</v>
      </c>
      <c r="Y28" s="60" t="s">
        <v>185</v>
      </c>
      <c r="Z28" s="33"/>
    </row>
    <row r="29" spans="1:26" x14ac:dyDescent="0.25">
      <c r="A29" s="59">
        <v>25</v>
      </c>
      <c r="B29" s="62" t="s">
        <v>309</v>
      </c>
      <c r="C29" s="59" t="s">
        <v>452</v>
      </c>
      <c r="D29" s="72" t="s">
        <v>546</v>
      </c>
      <c r="E29" s="59" t="s">
        <v>562</v>
      </c>
      <c r="F29" s="59" t="s">
        <v>352</v>
      </c>
      <c r="G29" s="60" t="s">
        <v>191</v>
      </c>
      <c r="H29" s="62" t="s">
        <v>417</v>
      </c>
      <c r="I29" s="60" t="s">
        <v>185</v>
      </c>
      <c r="J29" s="59" t="str">
        <f ca="1">_xlfn.CONCAT("GXO/ASOS Lichfield Weekly FC Monday Report WK",Dates!$K$12)</f>
        <v>GXO/ASOS Lichfield Weekly FC Monday Report WK7</v>
      </c>
      <c r="K29" s="60" t="s">
        <v>191</v>
      </c>
      <c r="L29" s="60" t="s">
        <v>191</v>
      </c>
      <c r="M29" s="62" t="s">
        <v>350</v>
      </c>
      <c r="N29" s="66" t="str">
        <f t="shared" ca="1" si="1"/>
        <v>2022-10-17</v>
      </c>
      <c r="O29" s="60" t="s">
        <v>185</v>
      </c>
      <c r="P29" s="62" t="s">
        <v>367</v>
      </c>
      <c r="Q29" s="62" t="s">
        <v>506</v>
      </c>
      <c r="R29" s="60" t="s">
        <v>185</v>
      </c>
      <c r="S29" s="60" t="s">
        <v>185</v>
      </c>
      <c r="T29" s="60" t="s">
        <v>191</v>
      </c>
      <c r="U29" s="62" t="s">
        <v>410</v>
      </c>
      <c r="V29" s="68" t="s">
        <v>412</v>
      </c>
      <c r="W29" s="60" t="s">
        <v>191</v>
      </c>
      <c r="X29" s="59" t="s">
        <v>335</v>
      </c>
      <c r="Y29" s="60" t="s">
        <v>185</v>
      </c>
      <c r="Z29" s="33"/>
    </row>
    <row r="30" spans="1:26" x14ac:dyDescent="0.25">
      <c r="A30" s="59">
        <v>26</v>
      </c>
      <c r="B30" s="62" t="s">
        <v>309</v>
      </c>
      <c r="C30" s="59" t="s">
        <v>387</v>
      </c>
      <c r="D30" s="72" t="s">
        <v>546</v>
      </c>
      <c r="E30" s="59" t="s">
        <v>562</v>
      </c>
      <c r="F30" s="59" t="s">
        <v>352</v>
      </c>
      <c r="G30" s="60" t="s">
        <v>191</v>
      </c>
      <c r="H30" s="62" t="s">
        <v>336</v>
      </c>
      <c r="I30" s="60" t="s">
        <v>185</v>
      </c>
      <c r="J30" s="59" t="str">
        <f ca="1">IF(ISNUMBER(SEARCH("INTERNAL",H30)),_xlfn.CONCAT("INTERNAL CHECK ","GXO/ASOS Lichfield Weekly FC Report WK",Dates!$K$12),_xlfn.CONCAT("GXO/SOS Lichfield Weekly FC Report WK",Dates!$K$12))</f>
        <v>GXO/SOS Lichfield Weekly FC Report WK7</v>
      </c>
      <c r="K30" s="60" t="s">
        <v>191</v>
      </c>
      <c r="L30" s="60" t="s">
        <v>191</v>
      </c>
      <c r="M30" s="62" t="s">
        <v>350</v>
      </c>
      <c r="N30" s="66" t="str">
        <f t="shared" ca="1" si="1"/>
        <v>2022-10-17</v>
      </c>
      <c r="O30" s="60" t="s">
        <v>185</v>
      </c>
      <c r="P30" s="62" t="s">
        <v>367</v>
      </c>
      <c r="Q30" s="62" t="s">
        <v>505</v>
      </c>
      <c r="R30" s="60" t="s">
        <v>185</v>
      </c>
      <c r="S30" s="60" t="s">
        <v>185</v>
      </c>
      <c r="T30" s="60" t="s">
        <v>191</v>
      </c>
      <c r="U30" s="62" t="s">
        <v>405</v>
      </c>
      <c r="V30" s="68" t="s">
        <v>579</v>
      </c>
      <c r="W30" s="60" t="s">
        <v>191</v>
      </c>
      <c r="X30" s="59" t="s">
        <v>335</v>
      </c>
      <c r="Y30" s="60" t="s">
        <v>185</v>
      </c>
      <c r="Z30" s="33"/>
    </row>
    <row r="31" spans="1:26" x14ac:dyDescent="0.25">
      <c r="A31" s="59">
        <v>28</v>
      </c>
      <c r="B31" s="62" t="s">
        <v>419</v>
      </c>
      <c r="C31" s="59" t="s">
        <v>420</v>
      </c>
      <c r="D31" s="72" t="s">
        <v>566</v>
      </c>
      <c r="E31" s="59" t="s">
        <v>569</v>
      </c>
      <c r="F31" s="59" t="s">
        <v>352</v>
      </c>
      <c r="G31" s="60" t="s">
        <v>191</v>
      </c>
      <c r="H31" s="59" t="s">
        <v>420</v>
      </c>
      <c r="I31" s="60" t="s">
        <v>185</v>
      </c>
      <c r="J31" s="59" t="str">
        <f ca="1">_xlfn.CONCAT("GXO/ASOS Lichfield Weekly FC Max Records Report WK",Dates!$K$12)</f>
        <v>GXO/ASOS Lichfield Weekly FC Max Records Report WK7</v>
      </c>
      <c r="K31" s="60" t="s">
        <v>191</v>
      </c>
      <c r="L31" s="60" t="s">
        <v>191</v>
      </c>
      <c r="M31" s="62" t="s">
        <v>350</v>
      </c>
      <c r="N31" s="66" t="str">
        <f t="shared" ca="1" si="1"/>
        <v>2022-10-17</v>
      </c>
      <c r="O31" s="60" t="s">
        <v>185</v>
      </c>
      <c r="P31" s="62" t="s">
        <v>367</v>
      </c>
      <c r="Q31" s="62" t="s">
        <v>508</v>
      </c>
      <c r="R31" s="60" t="s">
        <v>185</v>
      </c>
      <c r="S31" s="60" t="s">
        <v>191</v>
      </c>
      <c r="T31" s="60" t="s">
        <v>191</v>
      </c>
      <c r="U31" s="59" t="s">
        <v>439</v>
      </c>
      <c r="V31" s="67" t="s">
        <v>453</v>
      </c>
      <c r="W31" s="60" t="s">
        <v>191</v>
      </c>
      <c r="X31" s="59" t="s">
        <v>335</v>
      </c>
      <c r="Y31" s="60" t="s">
        <v>185</v>
      </c>
      <c r="Z31" s="33"/>
    </row>
    <row r="32" spans="1:26" s="40" customFormat="1" x14ac:dyDescent="0.25">
      <c r="A32" s="59">
        <v>29</v>
      </c>
      <c r="B32" s="62" t="s">
        <v>437</v>
      </c>
      <c r="C32" s="59" t="s">
        <v>438</v>
      </c>
      <c r="D32" s="72" t="s">
        <v>540</v>
      </c>
      <c r="E32" s="62" t="s">
        <v>435</v>
      </c>
      <c r="F32" s="62" t="s">
        <v>352</v>
      </c>
      <c r="G32" s="60" t="s">
        <v>191</v>
      </c>
      <c r="H32" s="62" t="s">
        <v>435</v>
      </c>
      <c r="I32" s="70" t="s">
        <v>185</v>
      </c>
      <c r="J32" s="59" t="str">
        <f ca="1">_xlfn.CONCAT("GXO/ASOS Lichfield Weekly Picks from same location WK",Dates!$K$12)</f>
        <v>GXO/ASOS Lichfield Weekly Picks from same location WK7</v>
      </c>
      <c r="K32" s="70" t="s">
        <v>185</v>
      </c>
      <c r="L32" s="70" t="s">
        <v>185</v>
      </c>
      <c r="M32" s="62" t="s">
        <v>350</v>
      </c>
      <c r="N32" s="66" t="str">
        <f ca="1">TEXT(TODAY()-6,"yyyy-mm-dd")</f>
        <v>2022-10-11</v>
      </c>
      <c r="O32" s="70" t="s">
        <v>185</v>
      </c>
      <c r="P32" s="62" t="s">
        <v>367</v>
      </c>
      <c r="Q32" s="62" t="s">
        <v>509</v>
      </c>
      <c r="R32" s="70" t="s">
        <v>191</v>
      </c>
      <c r="S32" s="70" t="s">
        <v>191</v>
      </c>
      <c r="T32" s="70" t="s">
        <v>185</v>
      </c>
      <c r="U32" s="62"/>
      <c r="V32" s="62"/>
      <c r="W32" s="70" t="s">
        <v>191</v>
      </c>
      <c r="X32" s="62" t="s">
        <v>335</v>
      </c>
      <c r="Y32" s="70" t="s">
        <v>185</v>
      </c>
      <c r="Z32" s="71"/>
    </row>
    <row r="33" spans="1:26" x14ac:dyDescent="0.25">
      <c r="A33" s="59">
        <v>30</v>
      </c>
      <c r="B33" s="62" t="s">
        <v>454</v>
      </c>
      <c r="C33" s="59" t="s">
        <v>455</v>
      </c>
      <c r="D33" s="72" t="s">
        <v>546</v>
      </c>
      <c r="E33" s="59" t="s">
        <v>562</v>
      </c>
      <c r="F33" s="59" t="s">
        <v>352</v>
      </c>
      <c r="G33" s="60" t="s">
        <v>191</v>
      </c>
      <c r="H33" s="59" t="s">
        <v>455</v>
      </c>
      <c r="I33" s="60" t="s">
        <v>185</v>
      </c>
      <c r="J33" s="59" t="str">
        <f ca="1">_xlfn.CONCAT("GXO/ASOS UK Contract Weekly ASOS Despatch Fails ",TEXT(Dates!$K$13,"dd/MM/yyyy"), " WK ",Dates!$K$12)</f>
        <v>GXO/ASOS UK Contract Weekly ASOS Despatch Fails 10/10/2022 WK 7</v>
      </c>
      <c r="K33" s="60" t="s">
        <v>191</v>
      </c>
      <c r="L33" s="60" t="s">
        <v>191</v>
      </c>
      <c r="M33" s="59"/>
      <c r="N33" s="65"/>
      <c r="O33" s="60" t="s">
        <v>185</v>
      </c>
      <c r="P33" s="59" t="s">
        <v>367</v>
      </c>
      <c r="Q33" s="59" t="s">
        <v>457</v>
      </c>
      <c r="R33" s="60" t="s">
        <v>185</v>
      </c>
      <c r="S33" s="60" t="s">
        <v>185</v>
      </c>
      <c r="T33" s="60" t="s">
        <v>191</v>
      </c>
      <c r="U33" s="59" t="s">
        <v>458</v>
      </c>
      <c r="V33" s="59" t="s">
        <v>580</v>
      </c>
      <c r="W33" s="60" t="s">
        <v>191</v>
      </c>
      <c r="X33" s="59" t="s">
        <v>335</v>
      </c>
      <c r="Y33" s="60" t="s">
        <v>185</v>
      </c>
      <c r="Z33" s="33"/>
    </row>
    <row r="34" spans="1:26" x14ac:dyDescent="0.25">
      <c r="A34" s="59">
        <v>31</v>
      </c>
      <c r="B34" s="62" t="s">
        <v>459</v>
      </c>
      <c r="C34" s="59" t="s">
        <v>460</v>
      </c>
      <c r="D34" s="72" t="s">
        <v>547</v>
      </c>
      <c r="E34" s="59" t="s">
        <v>570</v>
      </c>
      <c r="F34" s="59" t="s">
        <v>352</v>
      </c>
      <c r="G34" s="60" t="s">
        <v>191</v>
      </c>
      <c r="H34" s="59" t="s">
        <v>460</v>
      </c>
      <c r="I34" s="60" t="s">
        <v>185</v>
      </c>
      <c r="J34" s="59" t="str">
        <f ca="1">_xlfn.CONCAT("GXO/ASOS Lichfield Weekly Finance Summary WK",Dates!$K$12)</f>
        <v>GXO/ASOS Lichfield Weekly Finance Summary WK7</v>
      </c>
      <c r="K34" s="60" t="s">
        <v>191</v>
      </c>
      <c r="L34" s="60" t="s">
        <v>191</v>
      </c>
      <c r="M34" s="59"/>
      <c r="N34" s="65"/>
      <c r="O34" s="60" t="s">
        <v>185</v>
      </c>
      <c r="P34" s="59" t="s">
        <v>367</v>
      </c>
      <c r="Q34" s="59" t="s">
        <v>461</v>
      </c>
      <c r="R34" s="60" t="s">
        <v>185</v>
      </c>
      <c r="S34" s="60" t="s">
        <v>185</v>
      </c>
      <c r="T34" s="60" t="s">
        <v>185</v>
      </c>
      <c r="U34" s="59" t="s">
        <v>385</v>
      </c>
      <c r="V34" s="59" t="s">
        <v>462</v>
      </c>
      <c r="W34" s="60" t="s">
        <v>191</v>
      </c>
      <c r="X34" s="59" t="s">
        <v>335</v>
      </c>
      <c r="Y34" s="60" t="s">
        <v>185</v>
      </c>
      <c r="Z34" s="33"/>
    </row>
    <row r="35" spans="1:26" x14ac:dyDescent="0.25">
      <c r="A35" s="59">
        <v>32</v>
      </c>
      <c r="B35" s="62" t="s">
        <v>473</v>
      </c>
      <c r="C35" s="59" t="s">
        <v>472</v>
      </c>
      <c r="D35" s="72" t="s">
        <v>542</v>
      </c>
      <c r="E35" s="41" t="s">
        <v>559</v>
      </c>
      <c r="F35" s="59" t="s">
        <v>352</v>
      </c>
      <c r="G35" s="60" t="s">
        <v>191</v>
      </c>
      <c r="H35" s="59" t="s">
        <v>474</v>
      </c>
      <c r="I35" s="60" t="s">
        <v>185</v>
      </c>
      <c r="J35" s="59" t="str">
        <f ca="1">_xlfn.CONCAT("GXO/ASOS Lichfield"," ","Weekly Problem Resolution dwell time"," ",TEXT(Dates!$K$13,"dd/MM/yyyy"))</f>
        <v>GXO/ASOS Lichfield Weekly Problem Resolution dwell time 10/10/2022</v>
      </c>
      <c r="K35" s="60" t="s">
        <v>185</v>
      </c>
      <c r="L35" s="60" t="s">
        <v>191</v>
      </c>
      <c r="O35" s="60" t="s">
        <v>185</v>
      </c>
      <c r="P35" s="59" t="s">
        <v>367</v>
      </c>
      <c r="Q35" s="59" t="s">
        <v>475</v>
      </c>
      <c r="R35" s="60" t="s">
        <v>191</v>
      </c>
      <c r="S35" s="60" t="s">
        <v>191</v>
      </c>
      <c r="T35" s="60" t="s">
        <v>185</v>
      </c>
      <c r="X35" s="59" t="s">
        <v>335</v>
      </c>
      <c r="Y35" s="60" t="s">
        <v>185</v>
      </c>
      <c r="Z35" s="33"/>
    </row>
    <row r="36" spans="1:26" x14ac:dyDescent="0.25">
      <c r="A36" s="59">
        <v>33</v>
      </c>
      <c r="B36" s="62" t="s">
        <v>416</v>
      </c>
      <c r="C36" s="59" t="s">
        <v>507</v>
      </c>
      <c r="D36" s="72" t="s">
        <v>565</v>
      </c>
      <c r="E36" s="41" t="s">
        <v>577</v>
      </c>
      <c r="F36" s="59" t="s">
        <v>352</v>
      </c>
      <c r="G36" s="60" t="s">
        <v>191</v>
      </c>
      <c r="H36" s="59" t="s">
        <v>507</v>
      </c>
      <c r="I36" s="60" t="s">
        <v>185</v>
      </c>
      <c r="J36" s="59" t="str">
        <f ca="1">_xlfn.CONCAT("GXO/ASOS Lichfield Weekly FC Figures Report WK ",Dates!$K$12)</f>
        <v>GXO/ASOS Lichfield Weekly FC Figures Report WK 7</v>
      </c>
      <c r="K36" s="60" t="s">
        <v>191</v>
      </c>
      <c r="L36" s="60" t="s">
        <v>191</v>
      </c>
      <c r="M36" s="41" t="s">
        <v>350</v>
      </c>
      <c r="N36" s="41" t="s">
        <v>576</v>
      </c>
      <c r="O36" s="60" t="s">
        <v>185</v>
      </c>
      <c r="P36" s="59" t="s">
        <v>367</v>
      </c>
      <c r="Q36" s="59" t="s">
        <v>506</v>
      </c>
      <c r="R36" s="60" t="s">
        <v>191</v>
      </c>
      <c r="S36" s="60" t="s">
        <v>185</v>
      </c>
      <c r="T36" s="60" t="s">
        <v>185</v>
      </c>
      <c r="U36" s="41" t="s">
        <v>418</v>
      </c>
      <c r="V36" s="41" t="s">
        <v>578</v>
      </c>
      <c r="W36" s="41" t="s">
        <v>191</v>
      </c>
      <c r="X36" s="59" t="s">
        <v>335</v>
      </c>
      <c r="Y36" s="60" t="s">
        <v>185</v>
      </c>
      <c r="Z36" s="33"/>
    </row>
    <row r="37" spans="1:26" x14ac:dyDescent="0.25">
      <c r="A37" s="59">
        <v>34</v>
      </c>
      <c r="Z37" s="33"/>
    </row>
    <row r="38" spans="1:26" x14ac:dyDescent="0.25">
      <c r="A38" s="59">
        <v>35</v>
      </c>
      <c r="Z38" s="33"/>
    </row>
    <row r="39" spans="1:26" x14ac:dyDescent="0.25">
      <c r="A39" s="59">
        <v>36</v>
      </c>
      <c r="B39" s="59"/>
      <c r="C39" s="59"/>
      <c r="D39" s="64"/>
      <c r="E39" s="59"/>
      <c r="F39" s="59"/>
      <c r="G39" s="60"/>
      <c r="H39" s="59"/>
      <c r="I39" s="60"/>
      <c r="J39" s="59"/>
      <c r="K39" s="60"/>
      <c r="L39" s="60"/>
      <c r="M39" s="59"/>
      <c r="N39" s="65"/>
      <c r="O39" s="60"/>
      <c r="P39" s="59"/>
      <c r="Q39" s="59"/>
      <c r="R39" s="60"/>
      <c r="S39" s="60"/>
      <c r="T39" s="60"/>
      <c r="U39" s="59"/>
      <c r="V39" s="59"/>
      <c r="W39" s="60"/>
      <c r="X39" s="59"/>
      <c r="Y39" s="60"/>
      <c r="Z39" s="33"/>
    </row>
    <row r="40" spans="1:26" x14ac:dyDescent="0.25">
      <c r="A40" s="59">
        <v>37</v>
      </c>
      <c r="B40" s="59"/>
      <c r="C40" s="49"/>
      <c r="D40" s="55"/>
      <c r="E40" s="49"/>
      <c r="F40" s="49"/>
      <c r="G40" s="50"/>
      <c r="H40" s="56"/>
      <c r="I40" s="50"/>
      <c r="J40" s="56"/>
      <c r="K40" s="50"/>
      <c r="L40" s="50"/>
      <c r="M40" s="49"/>
      <c r="N40" s="51"/>
      <c r="O40" s="50"/>
      <c r="P40" s="56"/>
      <c r="Q40" s="56"/>
      <c r="R40" s="50"/>
      <c r="S40" s="50"/>
      <c r="T40" s="50"/>
      <c r="U40" s="56"/>
      <c r="V40" s="56"/>
      <c r="W40" s="50"/>
      <c r="X40" s="59"/>
      <c r="Y40" s="50"/>
      <c r="Z40" s="33"/>
    </row>
    <row r="41" spans="1:26" x14ac:dyDescent="0.25">
      <c r="A41" s="59">
        <v>38</v>
      </c>
      <c r="B41" s="59"/>
      <c r="C41" s="49"/>
      <c r="D41" s="55"/>
      <c r="E41" s="49"/>
      <c r="F41" s="49"/>
      <c r="G41" s="50"/>
      <c r="H41" s="56"/>
      <c r="I41" s="50"/>
      <c r="J41" s="56"/>
      <c r="K41" s="50"/>
      <c r="L41" s="50"/>
      <c r="M41" s="49"/>
      <c r="N41" s="51"/>
      <c r="O41" s="50"/>
      <c r="P41" s="56"/>
      <c r="Q41" s="56"/>
      <c r="R41" s="50"/>
      <c r="S41" s="50"/>
      <c r="T41" s="50"/>
      <c r="U41" s="56"/>
      <c r="V41" s="56"/>
      <c r="W41" s="50"/>
      <c r="X41" s="59"/>
      <c r="Y41" s="50"/>
      <c r="Z41" s="33"/>
    </row>
    <row r="42" spans="1:26" x14ac:dyDescent="0.25">
      <c r="A42" s="59">
        <v>39</v>
      </c>
      <c r="B42" s="59"/>
      <c r="C42" s="49"/>
      <c r="D42" s="55"/>
      <c r="E42" s="49"/>
      <c r="F42" s="49"/>
      <c r="G42" s="50"/>
      <c r="H42" s="56"/>
      <c r="I42" s="50"/>
      <c r="J42" s="56"/>
      <c r="K42" s="50"/>
      <c r="L42" s="50"/>
      <c r="M42" s="49"/>
      <c r="N42" s="51"/>
      <c r="O42" s="50"/>
      <c r="P42" s="56"/>
      <c r="Q42" s="56"/>
      <c r="R42" s="50"/>
      <c r="S42" s="50"/>
      <c r="T42" s="50"/>
      <c r="U42" s="49"/>
      <c r="V42" s="49"/>
      <c r="W42" s="50"/>
      <c r="X42" s="59"/>
      <c r="Y42" s="50"/>
      <c r="Z42" s="33"/>
    </row>
    <row r="43" spans="1:26" x14ac:dyDescent="0.25">
      <c r="A43" s="59">
        <v>40</v>
      </c>
      <c r="B43" s="59"/>
      <c r="C43" s="49"/>
      <c r="D43" s="55"/>
      <c r="E43" s="49"/>
      <c r="F43" s="49"/>
      <c r="G43" s="50"/>
      <c r="H43" s="56"/>
      <c r="I43" s="50"/>
      <c r="J43" s="49"/>
      <c r="K43" s="50"/>
      <c r="L43" s="50"/>
      <c r="M43" s="49"/>
      <c r="N43" s="51"/>
      <c r="O43" s="50"/>
      <c r="P43" s="56"/>
      <c r="Q43" s="56"/>
      <c r="R43" s="50"/>
      <c r="S43" s="50"/>
      <c r="T43" s="50"/>
      <c r="U43" s="49"/>
      <c r="V43" s="49"/>
      <c r="W43" s="50"/>
      <c r="X43" s="59"/>
      <c r="Y43" s="50"/>
      <c r="Z43" s="33"/>
    </row>
    <row r="44" spans="1:26" x14ac:dyDescent="0.25">
      <c r="A44" s="59">
        <v>41</v>
      </c>
      <c r="B44" s="59"/>
      <c r="C44" s="49"/>
      <c r="D44" s="55"/>
      <c r="E44" s="49"/>
      <c r="F44" s="49"/>
      <c r="G44" s="50"/>
      <c r="H44" s="56"/>
      <c r="I44" s="50"/>
      <c r="J44" s="49"/>
      <c r="K44" s="50"/>
      <c r="L44" s="50"/>
      <c r="M44" s="49"/>
      <c r="N44" s="51"/>
      <c r="O44" s="50"/>
      <c r="P44" s="56"/>
      <c r="Q44" s="56"/>
      <c r="R44" s="50"/>
      <c r="S44" s="50"/>
      <c r="T44" s="50"/>
      <c r="U44" s="49"/>
      <c r="V44" s="49"/>
      <c r="W44" s="50"/>
      <c r="X44" s="59"/>
      <c r="Y44" s="50"/>
      <c r="Z44" s="33"/>
    </row>
    <row r="45" spans="1:26" x14ac:dyDescent="0.25">
      <c r="A45" s="59">
        <v>42</v>
      </c>
      <c r="B45" s="59"/>
      <c r="C45" s="49"/>
      <c r="D45" s="55"/>
      <c r="E45" s="49"/>
      <c r="F45" s="49"/>
      <c r="G45" s="50"/>
      <c r="H45" s="49"/>
      <c r="I45" s="50"/>
      <c r="J45" s="49"/>
      <c r="K45" s="50"/>
      <c r="L45" s="50"/>
      <c r="M45" s="49"/>
      <c r="N45" s="51"/>
      <c r="O45" s="50"/>
      <c r="P45" s="56"/>
      <c r="Q45" s="56"/>
      <c r="R45" s="50"/>
      <c r="S45" s="50"/>
      <c r="T45" s="50"/>
      <c r="U45" s="49"/>
      <c r="V45" s="49"/>
      <c r="W45" s="50"/>
      <c r="X45" s="56"/>
      <c r="Y45" s="50"/>
      <c r="Z45" s="33"/>
    </row>
    <row r="46" spans="1:26" x14ac:dyDescent="0.25">
      <c r="A46" s="59">
        <v>43</v>
      </c>
      <c r="B46" s="59"/>
      <c r="C46" s="49"/>
      <c r="D46" s="55"/>
      <c r="E46" s="49"/>
      <c r="F46" s="49"/>
      <c r="G46" s="50"/>
      <c r="H46" s="49"/>
      <c r="I46" s="50"/>
      <c r="J46" s="49"/>
      <c r="K46" s="50"/>
      <c r="L46" s="50"/>
      <c r="M46" s="49"/>
      <c r="N46" s="51"/>
      <c r="O46" s="50"/>
      <c r="P46" s="56"/>
      <c r="Q46" s="56"/>
      <c r="R46" s="50"/>
      <c r="S46" s="50"/>
      <c r="T46" s="50"/>
      <c r="U46" s="49"/>
      <c r="V46" s="49"/>
      <c r="W46" s="50"/>
      <c r="X46" s="56"/>
      <c r="Y46" s="50"/>
      <c r="Z46" s="33"/>
    </row>
    <row r="47" spans="1:26" x14ac:dyDescent="0.25">
      <c r="A47" s="59">
        <v>44</v>
      </c>
      <c r="B47" s="59"/>
      <c r="C47" s="49"/>
      <c r="D47" s="55"/>
      <c r="E47" s="49"/>
      <c r="F47" s="49"/>
      <c r="G47" s="50"/>
      <c r="H47" s="49"/>
      <c r="I47" s="50"/>
      <c r="J47" s="49"/>
      <c r="K47" s="50"/>
      <c r="L47" s="50"/>
      <c r="M47" s="49"/>
      <c r="N47" s="51"/>
      <c r="O47" s="50"/>
      <c r="P47" s="56"/>
      <c r="Q47" s="56"/>
      <c r="R47" s="50"/>
      <c r="S47" s="50"/>
      <c r="T47" s="50"/>
      <c r="U47" s="49"/>
      <c r="V47" s="49"/>
      <c r="W47" s="50"/>
      <c r="X47" s="49"/>
      <c r="Y47" s="50"/>
      <c r="Z47" s="33"/>
    </row>
    <row r="48" spans="1:26" x14ac:dyDescent="0.25">
      <c r="A48" s="59">
        <v>45</v>
      </c>
      <c r="B48" s="59"/>
      <c r="C48" s="49"/>
      <c r="D48" s="55"/>
      <c r="E48" s="49"/>
      <c r="F48" s="49"/>
      <c r="G48" s="50"/>
      <c r="H48" s="49"/>
      <c r="I48" s="50"/>
      <c r="J48" s="49"/>
      <c r="K48" s="50"/>
      <c r="L48" s="50"/>
      <c r="M48" s="49"/>
      <c r="N48" s="51"/>
      <c r="O48" s="50"/>
      <c r="P48" s="56"/>
      <c r="Q48" s="56"/>
      <c r="R48" s="50"/>
      <c r="S48" s="50"/>
      <c r="T48" s="50"/>
      <c r="U48" s="49"/>
      <c r="V48" s="49"/>
      <c r="W48" s="50"/>
      <c r="X48" s="49"/>
      <c r="Y48" s="50"/>
      <c r="Z48" s="33"/>
    </row>
    <row r="49" spans="1:26" x14ac:dyDescent="0.25">
      <c r="A49" s="59">
        <v>46</v>
      </c>
      <c r="B49" s="59"/>
      <c r="C49" s="49"/>
      <c r="D49" s="55"/>
      <c r="E49" s="49"/>
      <c r="F49" s="49"/>
      <c r="G49" s="50"/>
      <c r="H49" s="49"/>
      <c r="I49" s="50"/>
      <c r="J49" s="49"/>
      <c r="K49" s="50"/>
      <c r="L49" s="50"/>
      <c r="M49" s="49"/>
      <c r="N49" s="51"/>
      <c r="O49" s="50"/>
      <c r="P49" s="56"/>
      <c r="Q49" s="56"/>
      <c r="R49" s="50"/>
      <c r="S49" s="50"/>
      <c r="T49" s="50"/>
      <c r="U49" s="49"/>
      <c r="V49" s="49"/>
      <c r="W49" s="50"/>
      <c r="X49" s="49"/>
      <c r="Y49" s="50"/>
      <c r="Z49" s="33"/>
    </row>
    <row r="50" spans="1:26" x14ac:dyDescent="0.25">
      <c r="A50" s="59">
        <v>47</v>
      </c>
      <c r="B50" s="59"/>
      <c r="C50" s="49"/>
      <c r="D50" s="55"/>
      <c r="E50" s="49"/>
      <c r="F50" s="49"/>
      <c r="G50" s="50"/>
      <c r="H50" s="49"/>
      <c r="I50" s="50"/>
      <c r="J50" s="49"/>
      <c r="K50" s="50"/>
      <c r="L50" s="50"/>
      <c r="M50" s="49"/>
      <c r="N50" s="51"/>
      <c r="O50" s="50"/>
      <c r="P50" s="56"/>
      <c r="Q50" s="56"/>
      <c r="R50" s="50"/>
      <c r="S50" s="50"/>
      <c r="T50" s="50"/>
      <c r="U50" s="49"/>
      <c r="V50" s="49"/>
      <c r="W50" s="50"/>
      <c r="X50" s="49"/>
      <c r="Y50" s="50"/>
      <c r="Z50" s="33"/>
    </row>
    <row r="51" spans="1:26" x14ac:dyDescent="0.25">
      <c r="A51" s="59">
        <v>48</v>
      </c>
      <c r="B51" s="59"/>
      <c r="C51" s="49"/>
      <c r="D51" s="55"/>
      <c r="E51" s="49"/>
      <c r="F51" s="49"/>
      <c r="G51" s="50"/>
      <c r="H51" s="49"/>
      <c r="I51" s="50"/>
      <c r="J51" s="49"/>
      <c r="K51" s="50"/>
      <c r="L51" s="50"/>
      <c r="M51" s="49"/>
      <c r="N51" s="51"/>
      <c r="O51" s="50"/>
      <c r="P51" s="56"/>
      <c r="Q51" s="56"/>
      <c r="R51" s="50"/>
      <c r="S51" s="50"/>
      <c r="T51" s="50"/>
      <c r="U51" s="49"/>
      <c r="V51" s="49"/>
      <c r="W51" s="50"/>
      <c r="X51" s="49"/>
      <c r="Y51" s="50"/>
      <c r="Z51" s="33"/>
    </row>
    <row r="52" spans="1:26" x14ac:dyDescent="0.25">
      <c r="A52" s="59">
        <v>49</v>
      </c>
      <c r="B52" s="59"/>
      <c r="C52" s="49"/>
      <c r="D52" s="55"/>
      <c r="E52" s="49"/>
      <c r="F52" s="49"/>
      <c r="G52" s="50"/>
      <c r="H52" s="49"/>
      <c r="I52" s="50"/>
      <c r="J52" s="49"/>
      <c r="K52" s="50"/>
      <c r="L52" s="50"/>
      <c r="M52" s="49"/>
      <c r="N52" s="51"/>
      <c r="O52" s="50"/>
      <c r="P52" s="56"/>
      <c r="Q52" s="56"/>
      <c r="R52" s="50"/>
      <c r="S52" s="50"/>
      <c r="T52" s="50"/>
      <c r="U52" s="49"/>
      <c r="V52" s="49"/>
      <c r="W52" s="50"/>
      <c r="X52" s="49"/>
      <c r="Y52" s="50"/>
      <c r="Z52" s="33"/>
    </row>
    <row r="53" spans="1:26" x14ac:dyDescent="0.25">
      <c r="A53" s="59">
        <v>50</v>
      </c>
      <c r="B53" s="59"/>
      <c r="C53" s="49"/>
      <c r="D53" s="55"/>
      <c r="E53" s="49"/>
      <c r="F53" s="49"/>
      <c r="G53" s="50"/>
      <c r="H53" s="49"/>
      <c r="I53" s="50"/>
      <c r="J53" s="49"/>
      <c r="K53" s="50"/>
      <c r="L53" s="50"/>
      <c r="M53" s="49"/>
      <c r="N53" s="51"/>
      <c r="O53" s="50"/>
      <c r="P53" s="56"/>
      <c r="Q53" s="56"/>
      <c r="R53" s="50"/>
      <c r="S53" s="50"/>
      <c r="T53" s="50"/>
      <c r="U53" s="49"/>
      <c r="V53" s="49"/>
      <c r="W53" s="50"/>
      <c r="X53" s="49"/>
      <c r="Y53" s="50"/>
      <c r="Z53" s="33"/>
    </row>
    <row r="54" spans="1:26" x14ac:dyDescent="0.25">
      <c r="A54" s="59">
        <v>51</v>
      </c>
      <c r="B54" s="59"/>
      <c r="C54" s="49"/>
      <c r="D54" s="55"/>
      <c r="E54" s="49"/>
      <c r="F54" s="49"/>
      <c r="G54" s="50"/>
      <c r="H54" s="49"/>
      <c r="I54" s="50"/>
      <c r="J54" s="49"/>
      <c r="K54" s="50"/>
      <c r="L54" s="50"/>
      <c r="M54" s="49"/>
      <c r="N54" s="51"/>
      <c r="O54" s="50"/>
      <c r="P54" s="56"/>
      <c r="Q54" s="56"/>
      <c r="R54" s="50"/>
      <c r="S54" s="50"/>
      <c r="T54" s="50"/>
      <c r="U54" s="49"/>
      <c r="V54" s="49"/>
      <c r="W54" s="50"/>
      <c r="X54" s="49"/>
      <c r="Y54" s="50"/>
      <c r="Z54" s="33"/>
    </row>
    <row r="55" spans="1:26" x14ac:dyDescent="0.25">
      <c r="A55" s="59">
        <v>52</v>
      </c>
      <c r="B55" s="59"/>
      <c r="C55" s="49"/>
      <c r="D55" s="55"/>
      <c r="E55" s="49"/>
      <c r="F55" s="49"/>
      <c r="G55" s="50"/>
      <c r="H55" s="49"/>
      <c r="I55" s="50"/>
      <c r="J55" s="49"/>
      <c r="K55" s="50"/>
      <c r="L55" s="50"/>
      <c r="M55" s="49"/>
      <c r="N55" s="51"/>
      <c r="O55" s="50"/>
      <c r="P55" s="56"/>
      <c r="Q55" s="56"/>
      <c r="R55" s="50"/>
      <c r="S55" s="50"/>
      <c r="T55" s="50"/>
      <c r="U55" s="49"/>
      <c r="V55" s="49"/>
      <c r="W55" s="50"/>
      <c r="X55" s="49"/>
      <c r="Y55" s="50"/>
      <c r="Z55" s="33"/>
    </row>
    <row r="56" spans="1:26" x14ac:dyDescent="0.25">
      <c r="A56" s="59">
        <v>53</v>
      </c>
      <c r="B56" s="59"/>
      <c r="C56" s="49"/>
      <c r="D56" s="55"/>
      <c r="E56" s="49"/>
      <c r="F56" s="49"/>
      <c r="G56" s="50"/>
      <c r="H56" s="49"/>
      <c r="I56" s="50"/>
      <c r="J56" s="49"/>
      <c r="K56" s="50"/>
      <c r="L56" s="50"/>
      <c r="M56" s="49"/>
      <c r="N56" s="51"/>
      <c r="O56" s="50"/>
      <c r="P56" s="56"/>
      <c r="Q56" s="56"/>
      <c r="R56" s="50"/>
      <c r="S56" s="50"/>
      <c r="T56" s="50"/>
      <c r="U56" s="49"/>
      <c r="V56" s="49"/>
      <c r="W56" s="50"/>
      <c r="X56" s="49"/>
      <c r="Y56" s="50"/>
      <c r="Z56" s="33"/>
    </row>
    <row r="57" spans="1:26" x14ac:dyDescent="0.25">
      <c r="A57" s="59">
        <v>54</v>
      </c>
      <c r="B57" s="59"/>
      <c r="C57" s="49"/>
      <c r="D57" s="55"/>
      <c r="E57" s="49"/>
      <c r="F57" s="49"/>
      <c r="G57" s="50"/>
      <c r="H57" s="49"/>
      <c r="I57" s="50"/>
      <c r="J57" s="49"/>
      <c r="K57" s="50"/>
      <c r="L57" s="50"/>
      <c r="M57" s="49"/>
      <c r="N57" s="51"/>
      <c r="O57" s="50"/>
      <c r="P57" s="56"/>
      <c r="Q57" s="56"/>
      <c r="R57" s="50"/>
      <c r="S57" s="50"/>
      <c r="T57" s="50"/>
      <c r="U57" s="49"/>
      <c r="V57" s="49"/>
      <c r="W57" s="50"/>
      <c r="X57" s="49"/>
      <c r="Y57" s="50"/>
      <c r="Z57" s="33"/>
    </row>
    <row r="58" spans="1:26" x14ac:dyDescent="0.25">
      <c r="A58" s="59">
        <v>55</v>
      </c>
      <c r="B58" s="59"/>
      <c r="C58" s="49"/>
      <c r="D58" s="55"/>
      <c r="E58" s="49"/>
      <c r="F58" s="49"/>
      <c r="G58" s="50"/>
      <c r="H58" s="49"/>
      <c r="I58" s="50"/>
      <c r="J58" s="49"/>
      <c r="K58" s="50"/>
      <c r="L58" s="50"/>
      <c r="M58" s="49"/>
      <c r="N58" s="51"/>
      <c r="O58" s="50"/>
      <c r="P58" s="56"/>
      <c r="Q58" s="56"/>
      <c r="R58" s="50"/>
      <c r="S58" s="50"/>
      <c r="T58" s="50"/>
      <c r="U58" s="49"/>
      <c r="V58" s="49"/>
      <c r="W58" s="50"/>
      <c r="X58" s="49"/>
      <c r="Y58" s="50"/>
      <c r="Z58" s="33"/>
    </row>
    <row r="59" spans="1:26" x14ac:dyDescent="0.25">
      <c r="A59" s="59">
        <v>56</v>
      </c>
      <c r="B59" s="59"/>
      <c r="C59" s="49"/>
      <c r="D59" s="55"/>
      <c r="E59" s="49"/>
      <c r="F59" s="49"/>
      <c r="G59" s="50"/>
      <c r="H59" s="49"/>
      <c r="I59" s="50"/>
      <c r="J59" s="49"/>
      <c r="K59" s="50"/>
      <c r="L59" s="50"/>
      <c r="M59" s="49"/>
      <c r="N59" s="51"/>
      <c r="O59" s="50"/>
      <c r="P59" s="56"/>
      <c r="Q59" s="56"/>
      <c r="R59" s="50"/>
      <c r="S59" s="50"/>
      <c r="T59" s="50"/>
      <c r="U59" s="49"/>
      <c r="V59" s="49"/>
      <c r="W59" s="50"/>
      <c r="X59" s="49"/>
      <c r="Y59" s="50"/>
      <c r="Z59" s="33"/>
    </row>
    <row r="60" spans="1:26" x14ac:dyDescent="0.25">
      <c r="A60" s="59">
        <v>57</v>
      </c>
      <c r="B60" s="59"/>
      <c r="C60" s="49"/>
      <c r="D60" s="55"/>
      <c r="E60" s="49"/>
      <c r="F60" s="49"/>
      <c r="G60" s="50"/>
      <c r="H60" s="49"/>
      <c r="I60" s="50"/>
      <c r="J60" s="49"/>
      <c r="K60" s="50"/>
      <c r="L60" s="50"/>
      <c r="M60" s="49"/>
      <c r="N60" s="51"/>
      <c r="O60" s="50"/>
      <c r="P60" s="56"/>
      <c r="Q60" s="56"/>
      <c r="R60" s="50"/>
      <c r="S60" s="50"/>
      <c r="T60" s="50"/>
      <c r="U60" s="49"/>
      <c r="V60" s="49"/>
      <c r="W60" s="50"/>
      <c r="X60" s="49"/>
      <c r="Y60" s="50"/>
      <c r="Z60" s="33"/>
    </row>
    <row r="61" spans="1:26" x14ac:dyDescent="0.25">
      <c r="A61" s="59">
        <v>58</v>
      </c>
      <c r="B61" s="59"/>
      <c r="C61" s="49"/>
      <c r="D61" s="55"/>
      <c r="E61" s="49"/>
      <c r="F61" s="49"/>
      <c r="G61" s="50"/>
      <c r="H61" s="49"/>
      <c r="I61" s="50"/>
      <c r="J61" s="49"/>
      <c r="K61" s="50"/>
      <c r="L61" s="50"/>
      <c r="M61" s="49"/>
      <c r="N61" s="51"/>
      <c r="O61" s="50"/>
      <c r="P61" s="56"/>
      <c r="Q61" s="56"/>
      <c r="R61" s="50"/>
      <c r="S61" s="50"/>
      <c r="T61" s="50"/>
      <c r="U61" s="49"/>
      <c r="V61" s="49"/>
      <c r="W61" s="50"/>
      <c r="X61" s="49"/>
      <c r="Y61" s="50"/>
      <c r="Z61" s="33"/>
    </row>
    <row r="62" spans="1:26" x14ac:dyDescent="0.25">
      <c r="A62" s="59">
        <v>59</v>
      </c>
      <c r="B62" s="59"/>
      <c r="C62" s="49"/>
      <c r="D62" s="55"/>
      <c r="E62" s="49"/>
      <c r="F62" s="49"/>
      <c r="G62" s="50"/>
      <c r="H62" s="49"/>
      <c r="I62" s="50"/>
      <c r="J62" s="49"/>
      <c r="K62" s="50"/>
      <c r="L62" s="50"/>
      <c r="M62" s="49"/>
      <c r="N62" s="51"/>
      <c r="O62" s="50"/>
      <c r="P62" s="56"/>
      <c r="Q62" s="56"/>
      <c r="R62" s="50"/>
      <c r="S62" s="50"/>
      <c r="T62" s="50"/>
      <c r="U62" s="49"/>
      <c r="V62" s="49"/>
      <c r="W62" s="50"/>
      <c r="X62" s="49"/>
      <c r="Y62" s="50"/>
      <c r="Z62" s="33"/>
    </row>
    <row r="63" spans="1:26" x14ac:dyDescent="0.25">
      <c r="A63" s="59">
        <v>60</v>
      </c>
      <c r="B63" s="59"/>
      <c r="C63" s="49"/>
      <c r="D63" s="55"/>
      <c r="E63" s="49"/>
      <c r="F63" s="49"/>
      <c r="G63" s="50"/>
      <c r="H63" s="49"/>
      <c r="I63" s="50"/>
      <c r="J63" s="49"/>
      <c r="K63" s="50"/>
      <c r="L63" s="50"/>
      <c r="M63" s="49"/>
      <c r="N63" s="51"/>
      <c r="O63" s="50"/>
      <c r="P63" s="56"/>
      <c r="Q63" s="56"/>
      <c r="R63" s="50"/>
      <c r="S63" s="50"/>
      <c r="T63" s="50"/>
      <c r="U63" s="49"/>
      <c r="V63" s="49"/>
      <c r="W63" s="50"/>
      <c r="X63" s="49"/>
      <c r="Y63" s="50"/>
      <c r="Z63" s="33"/>
    </row>
    <row r="64" spans="1:26" x14ac:dyDescent="0.25">
      <c r="A64" s="59">
        <v>61</v>
      </c>
      <c r="B64" s="59"/>
      <c r="C64" s="49"/>
      <c r="D64" s="55"/>
      <c r="E64" s="49"/>
      <c r="F64" s="49"/>
      <c r="G64" s="50"/>
      <c r="H64" s="49"/>
      <c r="I64" s="50"/>
      <c r="J64" s="49"/>
      <c r="K64" s="50"/>
      <c r="L64" s="50"/>
      <c r="M64" s="49"/>
      <c r="N64" s="51"/>
      <c r="O64" s="50"/>
      <c r="P64" s="56"/>
      <c r="Q64" s="56"/>
      <c r="R64" s="50"/>
      <c r="S64" s="50"/>
      <c r="T64" s="50"/>
      <c r="U64" s="49"/>
      <c r="V64" s="49"/>
      <c r="W64" s="50"/>
      <c r="X64" s="49"/>
      <c r="Y64" s="50"/>
      <c r="Z64" s="33"/>
    </row>
    <row r="65" spans="1:26" x14ac:dyDescent="0.25">
      <c r="A65" s="59">
        <v>62</v>
      </c>
      <c r="B65" s="59"/>
      <c r="C65" s="49"/>
      <c r="D65" s="55"/>
      <c r="E65" s="49"/>
      <c r="F65" s="49"/>
      <c r="G65" s="50"/>
      <c r="H65" s="49"/>
      <c r="I65" s="50"/>
      <c r="J65" s="49"/>
      <c r="K65" s="50"/>
      <c r="L65" s="50"/>
      <c r="M65" s="49"/>
      <c r="N65" s="51"/>
      <c r="O65" s="50"/>
      <c r="P65" s="56"/>
      <c r="Q65" s="56"/>
      <c r="R65" s="50"/>
      <c r="S65" s="50"/>
      <c r="T65" s="50"/>
      <c r="U65" s="49"/>
      <c r="V65" s="49"/>
      <c r="W65" s="50"/>
      <c r="X65" s="49"/>
      <c r="Y65" s="50"/>
      <c r="Z65" s="33"/>
    </row>
    <row r="66" spans="1:26" x14ac:dyDescent="0.25">
      <c r="A66" s="59">
        <v>63</v>
      </c>
      <c r="B66" s="59"/>
      <c r="C66" s="49"/>
      <c r="D66" s="55"/>
      <c r="E66" s="49"/>
      <c r="F66" s="49"/>
      <c r="G66" s="50"/>
      <c r="H66" s="49"/>
      <c r="I66" s="50"/>
      <c r="J66" s="49"/>
      <c r="K66" s="50"/>
      <c r="L66" s="50"/>
      <c r="M66" s="49"/>
      <c r="N66" s="51"/>
      <c r="O66" s="50"/>
      <c r="P66" s="56"/>
      <c r="Q66" s="56"/>
      <c r="R66" s="50"/>
      <c r="S66" s="50"/>
      <c r="T66" s="50"/>
      <c r="U66" s="49"/>
      <c r="V66" s="49"/>
      <c r="W66" s="50"/>
      <c r="X66" s="49"/>
      <c r="Y66" s="50"/>
      <c r="Z66" s="33"/>
    </row>
    <row r="67" spans="1:26" x14ac:dyDescent="0.25">
      <c r="A67" s="59">
        <v>64</v>
      </c>
      <c r="B67" s="59"/>
      <c r="C67" s="49"/>
      <c r="D67" s="55"/>
      <c r="E67" s="49"/>
      <c r="F67" s="49"/>
      <c r="G67" s="50"/>
      <c r="H67" s="49"/>
      <c r="I67" s="50"/>
      <c r="J67" s="49"/>
      <c r="K67" s="50"/>
      <c r="L67" s="50"/>
      <c r="M67" s="49"/>
      <c r="N67" s="51"/>
      <c r="O67" s="50"/>
      <c r="P67" s="56"/>
      <c r="Q67" s="56"/>
      <c r="R67" s="50"/>
      <c r="S67" s="50"/>
      <c r="T67" s="50"/>
      <c r="U67" s="49"/>
      <c r="V67" s="49"/>
      <c r="W67" s="50"/>
      <c r="X67" s="49"/>
      <c r="Y67" s="50"/>
      <c r="Z67" s="33"/>
    </row>
    <row r="68" spans="1:26" x14ac:dyDescent="0.25">
      <c r="A68" s="59">
        <v>65</v>
      </c>
      <c r="B68" s="59"/>
      <c r="C68" s="49"/>
      <c r="D68" s="55"/>
      <c r="E68" s="49"/>
      <c r="F68" s="49"/>
      <c r="G68" s="50"/>
      <c r="H68" s="49"/>
      <c r="I68" s="50"/>
      <c r="J68" s="49"/>
      <c r="K68" s="50"/>
      <c r="L68" s="50"/>
      <c r="M68" s="49"/>
      <c r="N68" s="51"/>
      <c r="O68" s="50"/>
      <c r="P68" s="56"/>
      <c r="Q68" s="56"/>
      <c r="R68" s="50"/>
      <c r="S68" s="50"/>
      <c r="T68" s="50"/>
      <c r="U68" s="49"/>
      <c r="V68" s="49"/>
      <c r="W68" s="50"/>
      <c r="X68" s="49"/>
      <c r="Y68" s="50"/>
      <c r="Z68" s="33"/>
    </row>
    <row r="69" spans="1:26" x14ac:dyDescent="0.25">
      <c r="A69" s="59">
        <v>66</v>
      </c>
      <c r="B69" s="59"/>
      <c r="C69" s="49"/>
      <c r="D69" s="55"/>
      <c r="E69" s="49"/>
      <c r="F69" s="49"/>
      <c r="G69" s="50"/>
      <c r="H69" s="49"/>
      <c r="I69" s="50"/>
      <c r="J69" s="49"/>
      <c r="K69" s="50"/>
      <c r="L69" s="50"/>
      <c r="M69" s="49"/>
      <c r="N69" s="51"/>
      <c r="O69" s="50"/>
      <c r="P69" s="56"/>
      <c r="Q69" s="56"/>
      <c r="R69" s="50"/>
      <c r="S69" s="50"/>
      <c r="T69" s="50"/>
      <c r="U69" s="49"/>
      <c r="V69" s="49"/>
      <c r="W69" s="50"/>
      <c r="X69" s="49"/>
      <c r="Y69" s="50"/>
      <c r="Z69" s="33"/>
    </row>
    <row r="70" spans="1:26" x14ac:dyDescent="0.25">
      <c r="A70" s="59">
        <v>67</v>
      </c>
      <c r="B70" s="59"/>
      <c r="C70" s="49"/>
      <c r="D70" s="55"/>
      <c r="E70" s="49"/>
      <c r="F70" s="49"/>
      <c r="G70" s="50"/>
      <c r="H70" s="49"/>
      <c r="I70" s="50"/>
      <c r="J70" s="49"/>
      <c r="K70" s="50"/>
      <c r="L70" s="50"/>
      <c r="M70" s="49"/>
      <c r="N70" s="51"/>
      <c r="O70" s="50"/>
      <c r="P70" s="56"/>
      <c r="Q70" s="56"/>
      <c r="R70" s="50"/>
      <c r="S70" s="50"/>
      <c r="T70" s="50"/>
      <c r="U70" s="49"/>
      <c r="V70" s="49"/>
      <c r="W70" s="50"/>
      <c r="X70" s="49"/>
      <c r="Y70" s="50"/>
      <c r="Z70" s="33"/>
    </row>
    <row r="71" spans="1:26" x14ac:dyDescent="0.25">
      <c r="A71" s="59">
        <v>68</v>
      </c>
      <c r="B71" s="59"/>
      <c r="C71" s="49"/>
      <c r="D71" s="55"/>
      <c r="E71" s="49"/>
      <c r="F71" s="49"/>
      <c r="G71" s="50"/>
      <c r="H71" s="49"/>
      <c r="I71" s="50"/>
      <c r="J71" s="49"/>
      <c r="K71" s="50"/>
      <c r="L71" s="50"/>
      <c r="M71" s="49"/>
      <c r="N71" s="51"/>
      <c r="O71" s="50"/>
      <c r="P71" s="56"/>
      <c r="Q71" s="56"/>
      <c r="R71" s="50"/>
      <c r="S71" s="50"/>
      <c r="T71" s="50"/>
      <c r="U71" s="49"/>
      <c r="V71" s="49"/>
      <c r="W71" s="50"/>
      <c r="X71" s="49"/>
      <c r="Y71" s="50"/>
      <c r="Z71" s="33"/>
    </row>
    <row r="72" spans="1:26" x14ac:dyDescent="0.25">
      <c r="A72" s="59">
        <v>69</v>
      </c>
      <c r="B72" s="59"/>
      <c r="C72" s="49"/>
      <c r="D72" s="55"/>
      <c r="E72" s="49"/>
      <c r="F72" s="49"/>
      <c r="G72" s="50"/>
      <c r="H72" s="49"/>
      <c r="I72" s="50"/>
      <c r="J72" s="49"/>
      <c r="K72" s="50"/>
      <c r="L72" s="50"/>
      <c r="M72" s="49"/>
      <c r="N72" s="51"/>
      <c r="O72" s="50"/>
      <c r="P72" s="56"/>
      <c r="Q72" s="56"/>
      <c r="R72" s="50"/>
      <c r="S72" s="50"/>
      <c r="T72" s="50"/>
      <c r="U72" s="49"/>
      <c r="V72" s="49"/>
      <c r="W72" s="50"/>
      <c r="X72" s="49"/>
      <c r="Y72" s="50"/>
      <c r="Z72" s="33"/>
    </row>
    <row r="73" spans="1:26" x14ac:dyDescent="0.25">
      <c r="A73" s="59">
        <v>70</v>
      </c>
      <c r="B73" s="59"/>
      <c r="C73" s="49"/>
      <c r="D73" s="55"/>
      <c r="E73" s="49"/>
      <c r="F73" s="49"/>
      <c r="G73" s="50"/>
      <c r="H73" s="49"/>
      <c r="I73" s="50"/>
      <c r="J73" s="49"/>
      <c r="K73" s="50"/>
      <c r="L73" s="50"/>
      <c r="M73" s="49"/>
      <c r="N73" s="51"/>
      <c r="O73" s="50"/>
      <c r="P73" s="56"/>
      <c r="Q73" s="56"/>
      <c r="R73" s="50"/>
      <c r="S73" s="50"/>
      <c r="T73" s="50"/>
      <c r="U73" s="49"/>
      <c r="V73" s="49"/>
      <c r="W73" s="50"/>
      <c r="X73" s="49"/>
      <c r="Y73" s="50"/>
      <c r="Z73" s="33"/>
    </row>
    <row r="74" spans="1:26" x14ac:dyDescent="0.25">
      <c r="A74" s="59">
        <v>71</v>
      </c>
      <c r="B74" s="59"/>
      <c r="C74" s="49"/>
      <c r="D74" s="55"/>
      <c r="E74" s="49"/>
      <c r="F74" s="49"/>
      <c r="G74" s="50"/>
      <c r="H74" s="49"/>
      <c r="I74" s="50"/>
      <c r="J74" s="49"/>
      <c r="K74" s="50"/>
      <c r="L74" s="50"/>
      <c r="M74" s="49"/>
      <c r="N74" s="51"/>
      <c r="O74" s="50"/>
      <c r="P74" s="56"/>
      <c r="Q74" s="56"/>
      <c r="R74" s="50"/>
      <c r="S74" s="50"/>
      <c r="T74" s="50"/>
      <c r="U74" s="49"/>
      <c r="V74" s="49"/>
      <c r="W74" s="50"/>
      <c r="X74" s="49"/>
      <c r="Y74" s="50"/>
      <c r="Z74" s="33"/>
    </row>
    <row r="75" spans="1:26" x14ac:dyDescent="0.25">
      <c r="A75" s="59">
        <v>72</v>
      </c>
      <c r="B75" s="59"/>
      <c r="C75" s="49"/>
      <c r="D75" s="55"/>
      <c r="E75" s="49"/>
      <c r="F75" s="49"/>
      <c r="G75" s="50"/>
      <c r="H75" s="49"/>
      <c r="I75" s="50"/>
      <c r="J75" s="49"/>
      <c r="K75" s="50"/>
      <c r="L75" s="50"/>
      <c r="M75" s="49"/>
      <c r="N75" s="51"/>
      <c r="O75" s="50"/>
      <c r="P75" s="56"/>
      <c r="Q75" s="56"/>
      <c r="R75" s="50"/>
      <c r="S75" s="50"/>
      <c r="T75" s="50"/>
      <c r="U75" s="49"/>
      <c r="V75" s="49"/>
      <c r="W75" s="50"/>
      <c r="X75" s="49"/>
      <c r="Y75" s="50"/>
      <c r="Z75" s="33"/>
    </row>
    <row r="76" spans="1:26" x14ac:dyDescent="0.25">
      <c r="A76" s="59">
        <v>73</v>
      </c>
      <c r="B76" s="59"/>
      <c r="C76" s="49"/>
      <c r="D76" s="55"/>
      <c r="E76" s="49"/>
      <c r="F76" s="49"/>
      <c r="G76" s="50"/>
      <c r="H76" s="49"/>
      <c r="I76" s="50"/>
      <c r="J76" s="49"/>
      <c r="K76" s="50"/>
      <c r="L76" s="50"/>
      <c r="M76" s="49"/>
      <c r="N76" s="51"/>
      <c r="O76" s="50"/>
      <c r="P76" s="56"/>
      <c r="Q76" s="56"/>
      <c r="R76" s="50"/>
      <c r="S76" s="50"/>
      <c r="T76" s="50"/>
      <c r="U76" s="49"/>
      <c r="V76" s="49"/>
      <c r="W76" s="50"/>
      <c r="X76" s="49"/>
      <c r="Y76" s="50"/>
      <c r="Z76" s="33"/>
    </row>
    <row r="77" spans="1:26" x14ac:dyDescent="0.25">
      <c r="A77" s="59">
        <v>74</v>
      </c>
      <c r="B77" s="59"/>
      <c r="C77" s="49"/>
      <c r="D77" s="55"/>
      <c r="E77" s="49"/>
      <c r="F77" s="49"/>
      <c r="G77" s="50"/>
      <c r="H77" s="49"/>
      <c r="I77" s="50"/>
      <c r="J77" s="49"/>
      <c r="K77" s="50"/>
      <c r="L77" s="50"/>
      <c r="M77" s="49"/>
      <c r="N77" s="51"/>
      <c r="O77" s="50"/>
      <c r="P77" s="56"/>
      <c r="Q77" s="56"/>
      <c r="R77" s="50"/>
      <c r="S77" s="50"/>
      <c r="T77" s="50"/>
      <c r="U77" s="49"/>
      <c r="V77" s="49"/>
      <c r="W77" s="50"/>
      <c r="X77" s="49"/>
      <c r="Y77" s="50"/>
      <c r="Z77" s="33"/>
    </row>
    <row r="78" spans="1:26" x14ac:dyDescent="0.25">
      <c r="A78" s="59">
        <v>75</v>
      </c>
      <c r="B78" s="59"/>
      <c r="C78" s="49"/>
      <c r="D78" s="55"/>
      <c r="E78" s="49"/>
      <c r="F78" s="49"/>
      <c r="G78" s="50"/>
      <c r="H78" s="49"/>
      <c r="I78" s="50"/>
      <c r="J78" s="49"/>
      <c r="K78" s="50"/>
      <c r="L78" s="50"/>
      <c r="M78" s="49"/>
      <c r="N78" s="51"/>
      <c r="O78" s="50"/>
      <c r="P78" s="56"/>
      <c r="Q78" s="56"/>
      <c r="R78" s="50"/>
      <c r="S78" s="50"/>
      <c r="T78" s="50"/>
      <c r="U78" s="49"/>
      <c r="V78" s="49"/>
      <c r="W78" s="50"/>
      <c r="X78" s="49"/>
      <c r="Y78" s="50"/>
      <c r="Z78" s="33"/>
    </row>
    <row r="79" spans="1:26" x14ac:dyDescent="0.25">
      <c r="A79" s="59">
        <v>76</v>
      </c>
      <c r="B79" s="59"/>
      <c r="C79" s="49"/>
      <c r="D79" s="55"/>
      <c r="E79" s="49"/>
      <c r="F79" s="49"/>
      <c r="G79" s="50"/>
      <c r="H79" s="49"/>
      <c r="I79" s="50"/>
      <c r="J79" s="49"/>
      <c r="K79" s="50"/>
      <c r="L79" s="50"/>
      <c r="M79" s="49"/>
      <c r="N79" s="51"/>
      <c r="O79" s="50"/>
      <c r="P79" s="56"/>
      <c r="Q79" s="56"/>
      <c r="R79" s="50"/>
      <c r="S79" s="50"/>
      <c r="T79" s="50"/>
      <c r="U79" s="49"/>
      <c r="V79" s="49"/>
      <c r="W79" s="50"/>
      <c r="X79" s="49"/>
      <c r="Y79" s="50"/>
      <c r="Z79" s="33"/>
    </row>
    <row r="80" spans="1:26" x14ac:dyDescent="0.25">
      <c r="A80" s="59">
        <v>77</v>
      </c>
      <c r="B80" s="59"/>
      <c r="C80" s="49"/>
      <c r="D80" s="55"/>
      <c r="E80" s="49"/>
      <c r="F80" s="49"/>
      <c r="G80" s="50"/>
      <c r="H80" s="49"/>
      <c r="I80" s="50"/>
      <c r="J80" s="49"/>
      <c r="K80" s="50"/>
      <c r="L80" s="50"/>
      <c r="M80" s="49"/>
      <c r="N80" s="51"/>
      <c r="O80" s="50"/>
      <c r="P80" s="56"/>
      <c r="Q80" s="56"/>
      <c r="R80" s="50"/>
      <c r="S80" s="50"/>
      <c r="T80" s="50"/>
      <c r="U80" s="49"/>
      <c r="V80" s="49"/>
      <c r="W80" s="50"/>
      <c r="X80" s="49"/>
      <c r="Y80" s="50"/>
      <c r="Z80" s="33"/>
    </row>
    <row r="81" spans="1:26" x14ac:dyDescent="0.25">
      <c r="A81" s="59">
        <v>78</v>
      </c>
      <c r="B81" s="59"/>
      <c r="C81" s="49"/>
      <c r="D81" s="55"/>
      <c r="E81" s="49"/>
      <c r="F81" s="49"/>
      <c r="G81" s="50"/>
      <c r="H81" s="49"/>
      <c r="I81" s="50"/>
      <c r="J81" s="49"/>
      <c r="K81" s="50"/>
      <c r="L81" s="50"/>
      <c r="M81" s="49"/>
      <c r="N81" s="51"/>
      <c r="O81" s="50"/>
      <c r="P81" s="56"/>
      <c r="Q81" s="56"/>
      <c r="R81" s="50"/>
      <c r="S81" s="50"/>
      <c r="T81" s="50"/>
      <c r="U81" s="49"/>
      <c r="V81" s="49"/>
      <c r="W81" s="50"/>
      <c r="X81" s="49"/>
      <c r="Y81" s="50"/>
      <c r="Z81" s="33"/>
    </row>
    <row r="82" spans="1:26" x14ac:dyDescent="0.25">
      <c r="A82" s="59">
        <v>79</v>
      </c>
      <c r="B82" s="59"/>
      <c r="C82" s="49"/>
      <c r="D82" s="55"/>
      <c r="E82" s="49"/>
      <c r="F82" s="49"/>
      <c r="G82" s="50"/>
      <c r="H82" s="49"/>
      <c r="I82" s="50"/>
      <c r="J82" s="49"/>
      <c r="K82" s="50"/>
      <c r="L82" s="50"/>
      <c r="M82" s="49"/>
      <c r="N82" s="51"/>
      <c r="O82" s="50"/>
      <c r="P82" s="56"/>
      <c r="Q82" s="56"/>
      <c r="R82" s="50"/>
      <c r="S82" s="50"/>
      <c r="T82" s="50"/>
      <c r="U82" s="49"/>
      <c r="V82" s="49"/>
      <c r="W82" s="50"/>
      <c r="X82" s="49"/>
      <c r="Y82" s="50"/>
      <c r="Z82" s="33"/>
    </row>
    <row r="83" spans="1:26" x14ac:dyDescent="0.25">
      <c r="A83" s="59">
        <v>80</v>
      </c>
      <c r="B83" s="59"/>
      <c r="C83" s="49"/>
      <c r="D83" s="55"/>
      <c r="E83" s="49"/>
      <c r="F83" s="49"/>
      <c r="G83" s="50"/>
      <c r="H83" s="49"/>
      <c r="I83" s="50"/>
      <c r="J83" s="49"/>
      <c r="K83" s="50"/>
      <c r="L83" s="50"/>
      <c r="M83" s="49"/>
      <c r="N83" s="51"/>
      <c r="O83" s="50"/>
      <c r="P83" s="56"/>
      <c r="Q83" s="56"/>
      <c r="R83" s="50"/>
      <c r="S83" s="50"/>
      <c r="T83" s="50"/>
      <c r="U83" s="49"/>
      <c r="V83" s="49"/>
      <c r="W83" s="50"/>
      <c r="X83" s="49"/>
      <c r="Y83" s="50"/>
      <c r="Z83" s="33"/>
    </row>
    <row r="84" spans="1:26" x14ac:dyDescent="0.25">
      <c r="A84" s="59">
        <v>81</v>
      </c>
      <c r="B84" s="59"/>
      <c r="C84" s="49"/>
      <c r="D84" s="55"/>
      <c r="E84" s="49"/>
      <c r="F84" s="49"/>
      <c r="G84" s="50"/>
      <c r="H84" s="49"/>
      <c r="I84" s="50"/>
      <c r="J84" s="49"/>
      <c r="K84" s="50"/>
      <c r="L84" s="50"/>
      <c r="M84" s="49"/>
      <c r="N84" s="51"/>
      <c r="O84" s="50"/>
      <c r="P84" s="56"/>
      <c r="Q84" s="56"/>
      <c r="R84" s="50"/>
      <c r="S84" s="50"/>
      <c r="T84" s="50"/>
      <c r="U84" s="49"/>
      <c r="V84" s="49"/>
      <c r="W84" s="50"/>
      <c r="X84" s="49"/>
      <c r="Y84" s="50"/>
      <c r="Z84" s="33"/>
    </row>
    <row r="85" spans="1:26" x14ac:dyDescent="0.25">
      <c r="A85" s="59">
        <v>82</v>
      </c>
      <c r="B85" s="59"/>
      <c r="C85" s="49"/>
      <c r="D85" s="55"/>
      <c r="E85" s="49"/>
      <c r="F85" s="49"/>
      <c r="G85" s="50"/>
      <c r="H85" s="49"/>
      <c r="I85" s="50"/>
      <c r="J85" s="49"/>
      <c r="K85" s="50"/>
      <c r="L85" s="50"/>
      <c r="M85" s="49"/>
      <c r="N85" s="51"/>
      <c r="O85" s="50"/>
      <c r="P85" s="56"/>
      <c r="Q85" s="56"/>
      <c r="R85" s="50"/>
      <c r="S85" s="50"/>
      <c r="T85" s="50"/>
      <c r="U85" s="49"/>
      <c r="V85" s="49"/>
      <c r="W85" s="50"/>
      <c r="X85" s="49"/>
      <c r="Y85" s="50"/>
      <c r="Z85" s="33"/>
    </row>
    <row r="86" spans="1:26" x14ac:dyDescent="0.25">
      <c r="A86" s="59">
        <v>83</v>
      </c>
      <c r="B86" s="59"/>
      <c r="C86" s="49"/>
      <c r="D86" s="55"/>
      <c r="E86" s="49"/>
      <c r="F86" s="49"/>
      <c r="G86" s="50"/>
      <c r="H86" s="49"/>
      <c r="I86" s="50"/>
      <c r="J86" s="49"/>
      <c r="K86" s="50"/>
      <c r="L86" s="50"/>
      <c r="M86" s="49"/>
      <c r="N86" s="51"/>
      <c r="O86" s="50"/>
      <c r="P86" s="56"/>
      <c r="Q86" s="56"/>
      <c r="R86" s="50"/>
      <c r="S86" s="50"/>
      <c r="T86" s="50"/>
      <c r="U86" s="49"/>
      <c r="V86" s="49"/>
      <c r="W86" s="50"/>
      <c r="X86" s="49"/>
      <c r="Y86" s="50"/>
      <c r="Z86" s="33"/>
    </row>
    <row r="87" spans="1:26" x14ac:dyDescent="0.25">
      <c r="A87" s="59">
        <v>84</v>
      </c>
      <c r="B87" s="59"/>
      <c r="C87" s="49"/>
      <c r="D87" s="55"/>
      <c r="E87" s="49"/>
      <c r="F87" s="49"/>
      <c r="G87" s="50"/>
      <c r="H87" s="49"/>
      <c r="I87" s="50"/>
      <c r="J87" s="49"/>
      <c r="K87" s="50"/>
      <c r="L87" s="50"/>
      <c r="M87" s="49"/>
      <c r="N87" s="51"/>
      <c r="O87" s="50"/>
      <c r="P87" s="56"/>
      <c r="Q87" s="56"/>
      <c r="R87" s="50"/>
      <c r="S87" s="50"/>
      <c r="T87" s="50"/>
      <c r="U87" s="49"/>
      <c r="V87" s="49"/>
      <c r="W87" s="50"/>
      <c r="X87" s="49"/>
      <c r="Y87" s="50"/>
      <c r="Z87" s="33"/>
    </row>
    <row r="88" spans="1:26" x14ac:dyDescent="0.25">
      <c r="A88" s="59">
        <v>85</v>
      </c>
      <c r="B88" s="59"/>
      <c r="C88" s="49"/>
      <c r="D88" s="55"/>
      <c r="E88" s="49"/>
      <c r="F88" s="49"/>
      <c r="G88" s="50"/>
      <c r="H88" s="49"/>
      <c r="I88" s="50"/>
      <c r="J88" s="49"/>
      <c r="K88" s="50"/>
      <c r="L88" s="50"/>
      <c r="M88" s="49"/>
      <c r="N88" s="51"/>
      <c r="O88" s="50"/>
      <c r="P88" s="56"/>
      <c r="Q88" s="56"/>
      <c r="R88" s="50"/>
      <c r="S88" s="50"/>
      <c r="T88" s="50"/>
      <c r="U88" s="49"/>
      <c r="V88" s="49"/>
      <c r="W88" s="50"/>
      <c r="X88" s="49"/>
      <c r="Y88" s="50"/>
      <c r="Z88" s="33"/>
    </row>
    <row r="89" spans="1:26" x14ac:dyDescent="0.25">
      <c r="A89" s="59">
        <v>86</v>
      </c>
      <c r="B89" s="59"/>
      <c r="C89" s="49"/>
      <c r="D89" s="55"/>
      <c r="E89" s="49"/>
      <c r="F89" s="49"/>
      <c r="G89" s="50"/>
      <c r="H89" s="49"/>
      <c r="I89" s="50"/>
      <c r="J89" s="49"/>
      <c r="K89" s="50"/>
      <c r="L89" s="50"/>
      <c r="M89" s="49"/>
      <c r="N89" s="51"/>
      <c r="O89" s="50"/>
      <c r="P89" s="56"/>
      <c r="Q89" s="56"/>
      <c r="R89" s="50"/>
      <c r="S89" s="50"/>
      <c r="T89" s="50"/>
      <c r="U89" s="49"/>
      <c r="V89" s="49"/>
      <c r="W89" s="50"/>
      <c r="X89" s="49"/>
      <c r="Y89" s="50"/>
      <c r="Z89" s="33"/>
    </row>
    <row r="90" spans="1:26" x14ac:dyDescent="0.25">
      <c r="A90" s="59">
        <v>87</v>
      </c>
      <c r="B90" s="59"/>
      <c r="C90" s="49"/>
      <c r="D90" s="55"/>
      <c r="E90" s="49"/>
      <c r="F90" s="49"/>
      <c r="G90" s="50"/>
      <c r="H90" s="49"/>
      <c r="I90" s="50"/>
      <c r="J90" s="49"/>
      <c r="K90" s="50"/>
      <c r="L90" s="50"/>
      <c r="M90" s="49"/>
      <c r="N90" s="51"/>
      <c r="O90" s="50"/>
      <c r="P90" s="56"/>
      <c r="Q90" s="56"/>
      <c r="R90" s="50"/>
      <c r="S90" s="50"/>
      <c r="T90" s="50"/>
      <c r="U90" s="49"/>
      <c r="V90" s="49"/>
      <c r="W90" s="50"/>
      <c r="X90" s="49"/>
      <c r="Y90" s="50"/>
      <c r="Z90" s="33"/>
    </row>
    <row r="91" spans="1:26" x14ac:dyDescent="0.25">
      <c r="A91" s="59">
        <v>88</v>
      </c>
      <c r="B91" s="59"/>
      <c r="C91" s="49"/>
      <c r="D91" s="55"/>
      <c r="E91" s="49"/>
      <c r="F91" s="49"/>
      <c r="G91" s="50"/>
      <c r="H91" s="49"/>
      <c r="I91" s="50"/>
      <c r="J91" s="49"/>
      <c r="K91" s="50"/>
      <c r="L91" s="50"/>
      <c r="M91" s="49"/>
      <c r="N91" s="51"/>
      <c r="O91" s="50"/>
      <c r="P91" s="56"/>
      <c r="Q91" s="56"/>
      <c r="R91" s="50"/>
      <c r="S91" s="50"/>
      <c r="T91" s="50"/>
      <c r="U91" s="49"/>
      <c r="V91" s="49"/>
      <c r="W91" s="50"/>
      <c r="X91" s="49"/>
      <c r="Y91" s="50"/>
      <c r="Z91" s="33"/>
    </row>
    <row r="92" spans="1:26" x14ac:dyDescent="0.25">
      <c r="A92" s="59">
        <v>89</v>
      </c>
      <c r="B92" s="59"/>
      <c r="C92" s="49"/>
      <c r="D92" s="55"/>
      <c r="E92" s="49"/>
      <c r="F92" s="49"/>
      <c r="G92" s="50"/>
      <c r="H92" s="49"/>
      <c r="I92" s="50"/>
      <c r="J92" s="49"/>
      <c r="K92" s="50"/>
      <c r="L92" s="50"/>
      <c r="M92" s="49"/>
      <c r="N92" s="51"/>
      <c r="O92" s="50"/>
      <c r="P92" s="56"/>
      <c r="Q92" s="56"/>
      <c r="R92" s="50"/>
      <c r="S92" s="50"/>
      <c r="T92" s="50"/>
      <c r="U92" s="49"/>
      <c r="V92" s="49"/>
      <c r="W92" s="50"/>
      <c r="X92" s="49"/>
      <c r="Y92" s="50"/>
      <c r="Z92" s="33"/>
    </row>
    <row r="93" spans="1:26" x14ac:dyDescent="0.25">
      <c r="A93" s="59">
        <v>90</v>
      </c>
      <c r="B93" s="59"/>
      <c r="C93" s="49"/>
      <c r="D93" s="55"/>
      <c r="E93" s="49"/>
      <c r="F93" s="49"/>
      <c r="G93" s="50"/>
      <c r="H93" s="49"/>
      <c r="I93" s="50"/>
      <c r="J93" s="49"/>
      <c r="K93" s="50"/>
      <c r="L93" s="50"/>
      <c r="M93" s="49"/>
      <c r="N93" s="51"/>
      <c r="O93" s="50"/>
      <c r="P93" s="56"/>
      <c r="Q93" s="56"/>
      <c r="R93" s="50"/>
      <c r="S93" s="50"/>
      <c r="T93" s="50"/>
      <c r="U93" s="49"/>
      <c r="V93" s="49"/>
      <c r="W93" s="50"/>
      <c r="X93" s="49"/>
      <c r="Y93" s="50"/>
      <c r="Z93" s="33"/>
    </row>
    <row r="94" spans="1:26" x14ac:dyDescent="0.25">
      <c r="A94" s="59">
        <v>91</v>
      </c>
      <c r="B94" s="59"/>
      <c r="C94" s="49"/>
      <c r="D94" s="55"/>
      <c r="E94" s="49"/>
      <c r="F94" s="49"/>
      <c r="G94" s="50"/>
      <c r="H94" s="49"/>
      <c r="I94" s="50"/>
      <c r="J94" s="49"/>
      <c r="K94" s="50"/>
      <c r="L94" s="50"/>
      <c r="M94" s="49"/>
      <c r="N94" s="51"/>
      <c r="O94" s="50"/>
      <c r="P94" s="56"/>
      <c r="Q94" s="56"/>
      <c r="R94" s="50"/>
      <c r="S94" s="50"/>
      <c r="T94" s="50"/>
      <c r="U94" s="49"/>
      <c r="V94" s="49"/>
      <c r="W94" s="50"/>
      <c r="X94" s="49"/>
      <c r="Y94" s="50"/>
      <c r="Z94" s="33"/>
    </row>
    <row r="95" spans="1:26" x14ac:dyDescent="0.25">
      <c r="A95" s="59">
        <v>92</v>
      </c>
      <c r="B95" s="59"/>
      <c r="C95" s="49"/>
      <c r="D95" s="55"/>
      <c r="E95" s="49"/>
      <c r="F95" s="49"/>
      <c r="G95" s="50"/>
      <c r="H95" s="49"/>
      <c r="I95" s="50"/>
      <c r="J95" s="49"/>
      <c r="K95" s="50"/>
      <c r="L95" s="50"/>
      <c r="M95" s="49"/>
      <c r="N95" s="51"/>
      <c r="O95" s="50"/>
      <c r="P95" s="56"/>
      <c r="Q95" s="56"/>
      <c r="R95" s="50"/>
      <c r="S95" s="50"/>
      <c r="T95" s="50"/>
      <c r="U95" s="49"/>
      <c r="V95" s="49"/>
      <c r="W95" s="50"/>
      <c r="X95" s="49"/>
      <c r="Y95" s="50"/>
      <c r="Z95" s="33"/>
    </row>
    <row r="96" spans="1:26" x14ac:dyDescent="0.25">
      <c r="A96" s="59">
        <v>93</v>
      </c>
      <c r="B96" s="59"/>
      <c r="C96" s="49"/>
      <c r="D96" s="55"/>
      <c r="E96" s="49"/>
      <c r="F96" s="49"/>
      <c r="G96" s="50"/>
      <c r="H96" s="49"/>
      <c r="I96" s="50"/>
      <c r="J96" s="49"/>
      <c r="K96" s="50"/>
      <c r="L96" s="50"/>
      <c r="M96" s="49"/>
      <c r="N96" s="51"/>
      <c r="O96" s="50"/>
      <c r="P96" s="56"/>
      <c r="Q96" s="56"/>
      <c r="R96" s="50"/>
      <c r="S96" s="50"/>
      <c r="T96" s="50"/>
      <c r="U96" s="49"/>
      <c r="V96" s="49"/>
      <c r="W96" s="50"/>
      <c r="X96" s="49"/>
      <c r="Y96" s="50"/>
      <c r="Z96" s="33"/>
    </row>
    <row r="97" spans="1:27" x14ac:dyDescent="0.25">
      <c r="A97" s="59">
        <v>94</v>
      </c>
      <c r="B97" s="59"/>
      <c r="C97" s="49"/>
      <c r="D97" s="55"/>
      <c r="E97" s="49"/>
      <c r="F97" s="49"/>
      <c r="G97" s="50"/>
      <c r="H97" s="49"/>
      <c r="I97" s="50"/>
      <c r="J97" s="49"/>
      <c r="K97" s="50"/>
      <c r="L97" s="50"/>
      <c r="M97" s="49"/>
      <c r="N97" s="51"/>
      <c r="O97" s="50"/>
      <c r="P97" s="56"/>
      <c r="Q97" s="56"/>
      <c r="R97" s="50"/>
      <c r="S97" s="50"/>
      <c r="T97" s="50"/>
      <c r="U97" s="49"/>
      <c r="V97" s="49"/>
      <c r="W97" s="50"/>
      <c r="X97" s="49"/>
      <c r="Y97" s="50"/>
      <c r="Z97" s="33"/>
    </row>
    <row r="98" spans="1:27" x14ac:dyDescent="0.25">
      <c r="A98" s="59">
        <v>95</v>
      </c>
      <c r="B98" s="59"/>
      <c r="C98" s="49"/>
      <c r="D98" s="55"/>
      <c r="E98" s="49"/>
      <c r="F98" s="49"/>
      <c r="G98" s="50"/>
      <c r="H98" s="49"/>
      <c r="I98" s="50"/>
      <c r="J98" s="49"/>
      <c r="K98" s="50"/>
      <c r="L98" s="50"/>
      <c r="M98" s="49"/>
      <c r="N98" s="51"/>
      <c r="O98" s="50"/>
      <c r="P98" s="56"/>
      <c r="Q98" s="56"/>
      <c r="R98" s="50"/>
      <c r="S98" s="50"/>
      <c r="T98" s="50"/>
      <c r="U98" s="49"/>
      <c r="V98" s="49"/>
      <c r="W98" s="50"/>
      <c r="X98" s="49"/>
      <c r="Y98" s="50"/>
      <c r="Z98" s="33"/>
    </row>
    <row r="99" spans="1:27" x14ac:dyDescent="0.25">
      <c r="A99" s="59">
        <v>96</v>
      </c>
      <c r="B99" s="59"/>
      <c r="C99" s="49"/>
      <c r="D99" s="55"/>
      <c r="E99" s="49"/>
      <c r="F99" s="49"/>
      <c r="G99" s="50"/>
      <c r="H99" s="49"/>
      <c r="I99" s="50"/>
      <c r="J99" s="49"/>
      <c r="K99" s="50"/>
      <c r="L99" s="50"/>
      <c r="M99" s="49"/>
      <c r="N99" s="51"/>
      <c r="O99" s="50"/>
      <c r="P99" s="56"/>
      <c r="Q99" s="56"/>
      <c r="R99" s="50"/>
      <c r="S99" s="50"/>
      <c r="T99" s="50"/>
      <c r="U99" s="49"/>
      <c r="V99" s="49"/>
      <c r="W99" s="50"/>
      <c r="X99" s="49"/>
      <c r="Y99" s="50"/>
      <c r="Z99" s="33"/>
    </row>
    <row r="100" spans="1:27" x14ac:dyDescent="0.25">
      <c r="A100" s="59">
        <v>97</v>
      </c>
      <c r="B100" s="59"/>
      <c r="C100" s="49"/>
      <c r="D100" s="55"/>
      <c r="E100" s="49"/>
      <c r="F100" s="49"/>
      <c r="G100" s="50"/>
      <c r="H100" s="49"/>
      <c r="I100" s="50"/>
      <c r="J100" s="49"/>
      <c r="K100" s="50"/>
      <c r="L100" s="50"/>
      <c r="M100" s="49"/>
      <c r="N100" s="51"/>
      <c r="O100" s="50"/>
      <c r="P100" s="56"/>
      <c r="Q100" s="56"/>
      <c r="R100" s="50"/>
      <c r="S100" s="50"/>
      <c r="T100" s="50"/>
      <c r="U100" s="49"/>
      <c r="V100" s="49"/>
      <c r="W100" s="50"/>
      <c r="X100" s="49"/>
      <c r="Y100" s="50"/>
      <c r="Z100" s="33"/>
    </row>
    <row r="101" spans="1:27" x14ac:dyDescent="0.25">
      <c r="A101" s="59">
        <v>98</v>
      </c>
      <c r="B101" s="59"/>
      <c r="C101" s="49"/>
      <c r="D101" s="55"/>
      <c r="E101" s="49"/>
      <c r="F101" s="49"/>
      <c r="G101" s="50"/>
      <c r="H101" s="49"/>
      <c r="I101" s="50"/>
      <c r="J101" s="49"/>
      <c r="K101" s="50"/>
      <c r="L101" s="50"/>
      <c r="M101" s="49"/>
      <c r="N101" s="51"/>
      <c r="O101" s="50"/>
      <c r="P101" s="56"/>
      <c r="Q101" s="56"/>
      <c r="R101" s="50"/>
      <c r="S101" s="50"/>
      <c r="T101" s="50"/>
      <c r="U101" s="49"/>
      <c r="V101" s="49"/>
      <c r="W101" s="50"/>
      <c r="X101" s="49"/>
      <c r="Y101" s="50"/>
      <c r="Z101" s="33"/>
    </row>
    <row r="102" spans="1:27" x14ac:dyDescent="0.25">
      <c r="A102" s="59">
        <v>99</v>
      </c>
      <c r="B102" s="59"/>
      <c r="C102" s="49"/>
      <c r="D102" s="55"/>
      <c r="E102" s="49"/>
      <c r="F102" s="49"/>
      <c r="G102" s="50"/>
      <c r="H102" s="49"/>
      <c r="I102" s="50"/>
      <c r="J102" s="49"/>
      <c r="K102" s="50"/>
      <c r="L102" s="50"/>
      <c r="M102" s="49"/>
      <c r="N102" s="51"/>
      <c r="O102" s="50"/>
      <c r="P102" s="56"/>
      <c r="Q102" s="56"/>
      <c r="R102" s="50"/>
      <c r="S102" s="50"/>
      <c r="T102" s="50"/>
      <c r="U102" s="49"/>
      <c r="V102" s="49"/>
      <c r="W102" s="50"/>
      <c r="X102" s="49"/>
      <c r="Y102" s="50"/>
      <c r="Z102" s="33"/>
    </row>
    <row r="103" spans="1:27" x14ac:dyDescent="0.25">
      <c r="A103" s="59">
        <v>100</v>
      </c>
      <c r="B103" s="59"/>
      <c r="C103" s="49"/>
      <c r="D103" s="55"/>
      <c r="E103" s="49"/>
      <c r="F103" s="49"/>
      <c r="G103" s="50"/>
      <c r="H103" s="49"/>
      <c r="I103" s="50"/>
      <c r="J103" s="49"/>
      <c r="K103" s="50"/>
      <c r="L103" s="50"/>
      <c r="M103" s="49"/>
      <c r="N103" s="51"/>
      <c r="O103" s="50"/>
      <c r="P103" s="56"/>
      <c r="Q103" s="56"/>
      <c r="R103" s="50"/>
      <c r="S103" s="50"/>
      <c r="T103" s="50"/>
      <c r="U103" s="49"/>
      <c r="V103" s="49"/>
      <c r="W103" s="50"/>
      <c r="X103" s="49"/>
      <c r="Y103" s="50"/>
      <c r="Z103" s="33"/>
    </row>
    <row r="104" spans="1:27" x14ac:dyDescent="0.25">
      <c r="A104" s="59">
        <v>101</v>
      </c>
      <c r="B104" s="59"/>
      <c r="C104" s="49"/>
      <c r="D104" s="55"/>
      <c r="E104" s="49"/>
      <c r="F104" s="49"/>
      <c r="G104" s="50"/>
      <c r="H104" s="49"/>
      <c r="I104" s="50"/>
      <c r="J104" s="49"/>
      <c r="K104" s="50"/>
      <c r="L104" s="50"/>
      <c r="M104" s="49"/>
      <c r="N104" s="51"/>
      <c r="O104" s="50"/>
      <c r="P104" s="56"/>
      <c r="Q104" s="56"/>
      <c r="R104" s="50"/>
      <c r="S104" s="50"/>
      <c r="T104" s="50"/>
      <c r="U104" s="49"/>
      <c r="V104" s="49"/>
      <c r="W104" s="50"/>
      <c r="X104" s="49"/>
      <c r="Y104" s="50"/>
      <c r="Z104" s="33"/>
    </row>
    <row r="105" spans="1:27" x14ac:dyDescent="0.25">
      <c r="A105" s="59">
        <v>102</v>
      </c>
      <c r="B105" s="59"/>
      <c r="C105" s="49"/>
      <c r="D105" s="55"/>
      <c r="E105" s="49"/>
      <c r="F105" s="49"/>
      <c r="G105" s="50"/>
      <c r="H105" s="49"/>
      <c r="I105" s="50"/>
      <c r="J105" s="49"/>
      <c r="K105" s="50"/>
      <c r="L105" s="50"/>
      <c r="M105" s="49"/>
      <c r="N105" s="51"/>
      <c r="O105" s="50"/>
      <c r="P105" s="56"/>
      <c r="Q105" s="56"/>
      <c r="R105" s="50"/>
      <c r="S105" s="50"/>
      <c r="T105" s="50"/>
      <c r="U105" s="49"/>
      <c r="V105" s="49"/>
      <c r="W105" s="50"/>
      <c r="X105" s="49"/>
      <c r="Y105" s="50"/>
      <c r="Z105" s="33"/>
    </row>
    <row r="106" spans="1:27" x14ac:dyDescent="0.25">
      <c r="A106" s="59">
        <v>103</v>
      </c>
      <c r="B106" s="63"/>
      <c r="C106" s="49"/>
      <c r="D106" s="55"/>
      <c r="E106" s="49"/>
      <c r="F106" s="49"/>
      <c r="G106" s="50"/>
      <c r="H106" s="52"/>
      <c r="I106" s="50"/>
      <c r="J106" s="52"/>
      <c r="K106" s="50"/>
      <c r="L106" s="50"/>
      <c r="M106" s="52"/>
      <c r="N106" s="52"/>
      <c r="O106" s="50"/>
      <c r="P106" s="57"/>
      <c r="Q106" s="57"/>
      <c r="R106" s="50"/>
      <c r="S106" s="50"/>
      <c r="T106" s="50"/>
      <c r="U106" s="52"/>
      <c r="V106" s="52"/>
      <c r="W106" s="50"/>
      <c r="X106" s="52"/>
      <c r="Y106" s="50"/>
      <c r="Z106" s="33"/>
    </row>
    <row r="107" spans="1:27" x14ac:dyDescent="0.25">
      <c r="A107" s="59">
        <v>104</v>
      </c>
      <c r="B107" s="59"/>
      <c r="C107" s="49"/>
      <c r="D107" s="55"/>
      <c r="E107" s="49"/>
      <c r="F107" s="49"/>
      <c r="G107" s="50"/>
      <c r="H107" s="49"/>
      <c r="I107" s="50"/>
      <c r="J107" s="49"/>
      <c r="K107" s="50"/>
      <c r="L107" s="50"/>
      <c r="M107" s="49"/>
      <c r="N107" s="49"/>
      <c r="O107" s="50"/>
      <c r="P107" s="56"/>
      <c r="Q107" s="56"/>
      <c r="R107" s="50"/>
      <c r="S107" s="50"/>
      <c r="T107" s="50"/>
      <c r="U107" s="49"/>
      <c r="V107" s="49"/>
      <c r="W107" s="50"/>
      <c r="X107" s="49"/>
      <c r="Y107" s="50"/>
      <c r="Z107" s="33"/>
    </row>
    <row r="108" spans="1:27" x14ac:dyDescent="0.25">
      <c r="A108" s="59">
        <v>105</v>
      </c>
      <c r="B108" s="59"/>
      <c r="C108" s="49"/>
      <c r="D108" s="55"/>
      <c r="E108" s="49"/>
      <c r="F108" s="49"/>
      <c r="G108" s="50"/>
      <c r="H108" s="49"/>
      <c r="I108" s="50"/>
      <c r="J108" s="49"/>
      <c r="K108" s="50"/>
      <c r="L108" s="50"/>
      <c r="M108" s="49"/>
      <c r="N108" s="49"/>
      <c r="O108" s="50"/>
      <c r="P108" s="56"/>
      <c r="Q108" s="56"/>
      <c r="R108" s="50"/>
      <c r="S108" s="50"/>
      <c r="T108" s="50"/>
      <c r="U108" s="49"/>
      <c r="V108" s="49"/>
      <c r="W108" s="50"/>
      <c r="X108" s="49"/>
      <c r="Y108" s="50"/>
      <c r="Z108" s="33"/>
    </row>
    <row r="109" spans="1:27" ht="4.5" customHeight="1" x14ac:dyDescent="0.25">
      <c r="A109" s="69"/>
      <c r="B109" s="69"/>
      <c r="C109" s="69"/>
      <c r="D109" s="69"/>
      <c r="E109" s="69"/>
      <c r="F109" s="69"/>
      <c r="G109" s="69"/>
      <c r="H109" s="69"/>
      <c r="I109" s="69"/>
      <c r="J109" s="69"/>
      <c r="K109" s="69"/>
      <c r="L109" s="69"/>
      <c r="M109" s="69"/>
      <c r="N109" s="69"/>
      <c r="O109" s="69"/>
      <c r="P109" s="69"/>
      <c r="Q109" s="69"/>
      <c r="R109" s="69"/>
      <c r="S109" s="69"/>
      <c r="T109" s="69"/>
      <c r="U109" s="69"/>
      <c r="V109" s="69"/>
      <c r="W109" s="69"/>
      <c r="X109" s="69"/>
      <c r="Y109" s="69"/>
      <c r="Z109" s="33"/>
      <c r="AA109" s="46"/>
    </row>
    <row r="110" spans="1:27" x14ac:dyDescent="0.25">
      <c r="D110" s="39"/>
      <c r="E110" s="36"/>
      <c r="F110" s="38"/>
      <c r="G110" s="44"/>
    </row>
    <row r="111" spans="1:27" x14ac:dyDescent="0.25">
      <c r="D111" s="39"/>
      <c r="E111" s="36"/>
      <c r="F111" s="38"/>
      <c r="G111" s="44"/>
    </row>
    <row r="112" spans="1:27" x14ac:dyDescent="0.25">
      <c r="D112" s="39"/>
      <c r="E112" s="36"/>
      <c r="F112" s="38"/>
      <c r="G112" s="44"/>
    </row>
    <row r="113" spans="4:26" x14ac:dyDescent="0.25">
      <c r="D113" s="39"/>
      <c r="E113" s="36"/>
      <c r="F113" s="38"/>
      <c r="G113" s="44"/>
    </row>
    <row r="114" spans="4:26" x14ac:dyDescent="0.25">
      <c r="D114" s="39"/>
      <c r="E114" s="36"/>
      <c r="F114" s="38"/>
      <c r="G114" s="44"/>
    </row>
    <row r="115" spans="4:26" x14ac:dyDescent="0.25">
      <c r="D115" s="39"/>
      <c r="E115" s="36"/>
      <c r="F115" s="38"/>
      <c r="G115" s="44"/>
    </row>
    <row r="116" spans="4:26" x14ac:dyDescent="0.25">
      <c r="D116" s="39"/>
      <c r="E116" s="36"/>
      <c r="F116" s="38"/>
      <c r="G116" s="44"/>
    </row>
    <row r="117" spans="4:26" x14ac:dyDescent="0.25">
      <c r="Z117" s="31"/>
    </row>
  </sheetData>
  <mergeCells count="7">
    <mergeCell ref="A1:B1"/>
    <mergeCell ref="X1:Y1"/>
    <mergeCell ref="O1:Q1"/>
    <mergeCell ref="K1:N1"/>
    <mergeCell ref="H1:J1"/>
    <mergeCell ref="R1:W1"/>
    <mergeCell ref="D1:E1"/>
  </mergeCells>
  <phoneticPr fontId="4" type="noConversion"/>
  <conditionalFormatting sqref="C39:C108 C3:C35">
    <cfRule type="expression" dxfId="222" priority="370">
      <formula>IF(LEN(C3) &gt; 32, TRUE,FALSE)</formula>
    </cfRule>
  </conditionalFormatting>
  <conditionalFormatting sqref="G110:G116 G39:G108 Y39:Y108 Y3:Y34 G3:G36">
    <cfRule type="containsText" dxfId="221" priority="307" operator="containsText" text="n">
      <formula>NOT(ISERROR(SEARCH("n",G3)))</formula>
    </cfRule>
    <cfRule type="containsText" dxfId="220" priority="308" operator="containsText" text="y">
      <formula>NOT(ISERROR(SEARCH("y",G3)))</formula>
    </cfRule>
  </conditionalFormatting>
  <conditionalFormatting sqref="Y39:Y108 Y3:Y34">
    <cfRule type="containsText" dxfId="219" priority="277" operator="containsText" text="n">
      <formula>NOT(ISERROR(SEARCH("n",Y3)))</formula>
    </cfRule>
    <cfRule type="containsText" dxfId="218" priority="278" operator="containsText" text="y">
      <formula>NOT(ISERROR(SEARCH("y",Y3)))</formula>
    </cfRule>
  </conditionalFormatting>
  <conditionalFormatting sqref="H39:H108 H3:H34">
    <cfRule type="expression" dxfId="217" priority="276">
      <formula>IF($G3 = "Y",TRUE,FALSE)</formula>
    </cfRule>
  </conditionalFormatting>
  <conditionalFormatting sqref="J39:J108 J3:J35">
    <cfRule type="expression" dxfId="216" priority="275">
      <formula>IF($I3 = "Y",TRUE,FALSE)</formula>
    </cfRule>
  </conditionalFormatting>
  <conditionalFormatting sqref="M39:N108 M3:N34">
    <cfRule type="expression" dxfId="215" priority="274">
      <formula>IF($L3 = "Y", TRUE,FALSE)</formula>
    </cfRule>
  </conditionalFormatting>
  <conditionalFormatting sqref="P39:Q108 P3:Q34">
    <cfRule type="expression" dxfId="214" priority="273">
      <formula>IF($O3 = "Y",TRUE,FALSE)</formula>
    </cfRule>
  </conditionalFormatting>
  <conditionalFormatting sqref="U39:V108 U3:V34">
    <cfRule type="expression" dxfId="213" priority="272">
      <formula>IF(OR($R3 = "Y", $S3 = "Y"),TRUE,FALSE)</formula>
    </cfRule>
  </conditionalFormatting>
  <conditionalFormatting sqref="B39:Y108 J35 B24:Y29 A21:C23 N22:N27 E21:Y23 A3:Y20 A37:A108 D30:Y34 B30:C35 A24:A35 G3:G36">
    <cfRule type="expression" dxfId="212" priority="212">
      <formula>IF($G3 = "N",TRUE,FALSE)</formula>
    </cfRule>
  </conditionalFormatting>
  <conditionalFormatting sqref="A2:Y2">
    <cfRule type="expression" dxfId="211" priority="271">
      <formula>IF(#REF!&lt;&gt;"",TRUE,FALSE)</formula>
    </cfRule>
  </conditionalFormatting>
  <conditionalFormatting sqref="Y39:Y108 Y3:Y34">
    <cfRule type="containsText" dxfId="210" priority="253" operator="containsText" text="n">
      <formula>NOT(ISERROR(SEARCH("n",Y3)))</formula>
    </cfRule>
    <cfRule type="containsText" dxfId="209" priority="254" operator="containsText" text="y">
      <formula>NOT(ISERROR(SEARCH("y",Y3)))</formula>
    </cfRule>
  </conditionalFormatting>
  <conditionalFormatting sqref="K39:K108 T39:T108 W39:W108 K3:K34 T3:T34 W3:W34">
    <cfRule type="containsText" dxfId="208" priority="249" operator="containsText" text="n">
      <formula>NOT(ISERROR(SEARCH("n",K3)))</formula>
    </cfRule>
    <cfRule type="containsText" dxfId="207" priority="250" operator="containsText" text="y">
      <formula>NOT(ISERROR(SEARCH("y",K3)))</formula>
    </cfRule>
  </conditionalFormatting>
  <conditionalFormatting sqref="L39:L108 L3:L34">
    <cfRule type="containsText" dxfId="206" priority="233" operator="containsText" text="n">
      <formula>NOT(ISERROR(SEARCH("n",L3)))</formula>
    </cfRule>
    <cfRule type="containsText" dxfId="205" priority="234" operator="containsText" text="y">
      <formula>NOT(ISERROR(SEARCH("y",L3)))</formula>
    </cfRule>
  </conditionalFormatting>
  <conditionalFormatting sqref="I39:I108 O39:O108 I3:I34 O3:O34">
    <cfRule type="containsText" dxfId="204" priority="231" operator="containsText" text="n">
      <formula>NOT(ISERROR(SEARCH("n",I3)))</formula>
    </cfRule>
    <cfRule type="containsText" dxfId="203" priority="232" operator="containsText" text="y">
      <formula>NOT(ISERROR(SEARCH("y",I3)))</formula>
    </cfRule>
  </conditionalFormatting>
  <conditionalFormatting sqref="R39:S108 R3:S34">
    <cfRule type="containsText" dxfId="202" priority="227" operator="containsText" text="n">
      <formula>NOT(ISERROR(SEARCH("n",R3)))</formula>
    </cfRule>
    <cfRule type="containsText" dxfId="201" priority="228" operator="containsText" text="y">
      <formula>NOT(ISERROR(SEARCH("y",R3)))</formula>
    </cfRule>
  </conditionalFormatting>
  <conditionalFormatting sqref="H39:H109 H3:H34">
    <cfRule type="containsText" dxfId="200" priority="213" operator="containsText" text="EXTERNAL">
      <formula>NOT(ISERROR(SEARCH("EXTERNAL",H3)))</formula>
    </cfRule>
    <cfRule type="containsText" dxfId="199" priority="214" operator="containsText" text="INTERNAL">
      <formula>NOT(ISERROR(SEARCH("INTERNAL",H3)))</formula>
    </cfRule>
  </conditionalFormatting>
  <conditionalFormatting sqref="F35">
    <cfRule type="expression" dxfId="198" priority="211">
      <formula>IF($G35 = "N",TRUE,FALSE)</formula>
    </cfRule>
  </conditionalFormatting>
  <conditionalFormatting sqref="H35">
    <cfRule type="expression" dxfId="197" priority="207">
      <formula>IF($G35 = "Y",TRUE,FALSE)</formula>
    </cfRule>
  </conditionalFormatting>
  <conditionalFormatting sqref="H35">
    <cfRule type="expression" dxfId="196" priority="204">
      <formula>IF($G35 = "N",TRUE,FALSE)</formula>
    </cfRule>
  </conditionalFormatting>
  <conditionalFormatting sqref="H35">
    <cfRule type="containsText" dxfId="195" priority="205" operator="containsText" text="EXTERNAL">
      <formula>NOT(ISERROR(SEARCH("EXTERNAL",H35)))</formula>
    </cfRule>
    <cfRule type="containsText" dxfId="194" priority="206" operator="containsText" text="INTERNAL">
      <formula>NOT(ISERROR(SEARCH("INTERNAL",H35)))</formula>
    </cfRule>
  </conditionalFormatting>
  <conditionalFormatting sqref="I35">
    <cfRule type="expression" dxfId="193" priority="201">
      <formula>IF($G35 = "N",TRUE,FALSE)</formula>
    </cfRule>
  </conditionalFormatting>
  <conditionalFormatting sqref="I35">
    <cfRule type="containsText" dxfId="192" priority="202" operator="containsText" text="n">
      <formula>NOT(ISERROR(SEARCH("n",I35)))</formula>
    </cfRule>
    <cfRule type="containsText" dxfId="191" priority="203" operator="containsText" text="y">
      <formula>NOT(ISERROR(SEARCH("y",I35)))</formula>
    </cfRule>
  </conditionalFormatting>
  <conditionalFormatting sqref="K35:L35">
    <cfRule type="expression" dxfId="190" priority="194">
      <formula>IF($G35 = "N",TRUE,FALSE)</formula>
    </cfRule>
  </conditionalFormatting>
  <conditionalFormatting sqref="K35">
    <cfRule type="containsText" dxfId="189" priority="197" operator="containsText" text="n">
      <formula>NOT(ISERROR(SEARCH("n",K35)))</formula>
    </cfRule>
    <cfRule type="containsText" dxfId="188" priority="198" operator="containsText" text="y">
      <formula>NOT(ISERROR(SEARCH("y",K35)))</formula>
    </cfRule>
  </conditionalFormatting>
  <conditionalFormatting sqref="L35">
    <cfRule type="containsText" dxfId="187" priority="195" operator="containsText" text="n">
      <formula>NOT(ISERROR(SEARCH("n",L35)))</formula>
    </cfRule>
    <cfRule type="containsText" dxfId="186" priority="196" operator="containsText" text="y">
      <formula>NOT(ISERROR(SEARCH("y",L35)))</formula>
    </cfRule>
  </conditionalFormatting>
  <conditionalFormatting sqref="P35:Q35">
    <cfRule type="expression" dxfId="185" priority="193">
      <formula>IF($O35 = "Y",TRUE,FALSE)</formula>
    </cfRule>
  </conditionalFormatting>
  <conditionalFormatting sqref="O35:Q35">
    <cfRule type="expression" dxfId="184" priority="190">
      <formula>IF($G35 = "N",TRUE,FALSE)</formula>
    </cfRule>
  </conditionalFormatting>
  <conditionalFormatting sqref="O35">
    <cfRule type="containsText" dxfId="183" priority="191" operator="containsText" text="n">
      <formula>NOT(ISERROR(SEARCH("n",O35)))</formula>
    </cfRule>
    <cfRule type="containsText" dxfId="182" priority="192" operator="containsText" text="y">
      <formula>NOT(ISERROR(SEARCH("y",O35)))</formula>
    </cfRule>
  </conditionalFormatting>
  <conditionalFormatting sqref="R35:T35">
    <cfRule type="expression" dxfId="181" priority="185">
      <formula>IF($G35 = "N",TRUE,FALSE)</formula>
    </cfRule>
  </conditionalFormatting>
  <conditionalFormatting sqref="T35">
    <cfRule type="containsText" dxfId="180" priority="188" operator="containsText" text="n">
      <formula>NOT(ISERROR(SEARCH("n",T35)))</formula>
    </cfRule>
    <cfRule type="containsText" dxfId="179" priority="189" operator="containsText" text="y">
      <formula>NOT(ISERROR(SEARCH("y",T35)))</formula>
    </cfRule>
  </conditionalFormatting>
  <conditionalFormatting sqref="R35:S35">
    <cfRule type="containsText" dxfId="178" priority="186" operator="containsText" text="n">
      <formula>NOT(ISERROR(SEARCH("n",R35)))</formula>
    </cfRule>
    <cfRule type="containsText" dxfId="177" priority="187" operator="containsText" text="y">
      <formula>NOT(ISERROR(SEARCH("y",R35)))</formula>
    </cfRule>
  </conditionalFormatting>
  <conditionalFormatting sqref="X35">
    <cfRule type="expression" dxfId="176" priority="184">
      <formula>IF($G35 = "N",TRUE,FALSE)</formula>
    </cfRule>
  </conditionalFormatting>
  <conditionalFormatting sqref="Y35">
    <cfRule type="containsText" dxfId="175" priority="182" operator="containsText" text="n">
      <formula>NOT(ISERROR(SEARCH("n",Y35)))</formula>
    </cfRule>
    <cfRule type="containsText" dxfId="174" priority="183" operator="containsText" text="y">
      <formula>NOT(ISERROR(SEARCH("y",Y35)))</formula>
    </cfRule>
  </conditionalFormatting>
  <conditionalFormatting sqref="Y35">
    <cfRule type="containsText" dxfId="173" priority="180" operator="containsText" text="n">
      <formula>NOT(ISERROR(SEARCH("n",Y35)))</formula>
    </cfRule>
    <cfRule type="containsText" dxfId="172" priority="181" operator="containsText" text="y">
      <formula>NOT(ISERROR(SEARCH("y",Y35)))</formula>
    </cfRule>
  </conditionalFormatting>
  <conditionalFormatting sqref="Y35">
    <cfRule type="expression" dxfId="171" priority="177">
      <formula>IF($G35 = "N",TRUE,FALSE)</formula>
    </cfRule>
  </conditionalFormatting>
  <conditionalFormatting sqref="Y35">
    <cfRule type="containsText" dxfId="170" priority="178" operator="containsText" text="n">
      <formula>NOT(ISERROR(SEARCH("n",Y35)))</formula>
    </cfRule>
    <cfRule type="containsText" dxfId="169" priority="179" operator="containsText" text="y">
      <formula>NOT(ISERROR(SEARCH("y",Y35)))</formula>
    </cfRule>
  </conditionalFormatting>
  <conditionalFormatting sqref="H21">
    <cfRule type="containsText" dxfId="168" priority="170" operator="containsText" text="EXTERNAL">
      <formula>NOT(ISERROR(SEARCH("EXTERNAL",H21)))</formula>
    </cfRule>
    <cfRule type="containsText" dxfId="167" priority="171" operator="containsText" text="INTERNAL">
      <formula>NOT(ISERROR(SEARCH("INTERNAL",H21)))</formula>
    </cfRule>
  </conditionalFormatting>
  <conditionalFormatting sqref="I21">
    <cfRule type="containsText" dxfId="166" priority="167" operator="containsText" text="n">
      <formula>NOT(ISERROR(SEARCH("n",I21)))</formula>
    </cfRule>
    <cfRule type="containsText" dxfId="165" priority="168" operator="containsText" text="y">
      <formula>NOT(ISERROR(SEARCH("y",I21)))</formula>
    </cfRule>
  </conditionalFormatting>
  <conditionalFormatting sqref="K21">
    <cfRule type="containsText" dxfId="164" priority="164" operator="containsText" text="n">
      <formula>NOT(ISERROR(SEARCH("n",K21)))</formula>
    </cfRule>
    <cfRule type="containsText" dxfId="163" priority="165" operator="containsText" text="y">
      <formula>NOT(ISERROR(SEARCH("y",K21)))</formula>
    </cfRule>
  </conditionalFormatting>
  <conditionalFormatting sqref="L21">
    <cfRule type="containsText" dxfId="162" priority="161" operator="containsText" text="n">
      <formula>NOT(ISERROR(SEARCH("n",L21)))</formula>
    </cfRule>
    <cfRule type="containsText" dxfId="161" priority="162" operator="containsText" text="y">
      <formula>NOT(ISERROR(SEARCH("y",L21)))</formula>
    </cfRule>
  </conditionalFormatting>
  <conditionalFormatting sqref="O21">
    <cfRule type="containsText" dxfId="160" priority="158" operator="containsText" text="n">
      <formula>NOT(ISERROR(SEARCH("n",O21)))</formula>
    </cfRule>
    <cfRule type="containsText" dxfId="159" priority="159" operator="containsText" text="y">
      <formula>NOT(ISERROR(SEARCH("y",O21)))</formula>
    </cfRule>
  </conditionalFormatting>
  <conditionalFormatting sqref="R21">
    <cfRule type="containsText" dxfId="158" priority="151" operator="containsText" text="n">
      <formula>NOT(ISERROR(SEARCH("n",R21)))</formula>
    </cfRule>
    <cfRule type="containsText" dxfId="157" priority="152" operator="containsText" text="y">
      <formula>NOT(ISERROR(SEARCH("y",R21)))</formula>
    </cfRule>
  </conditionalFormatting>
  <conditionalFormatting sqref="S21">
    <cfRule type="containsText" dxfId="156" priority="148" operator="containsText" text="n">
      <formula>NOT(ISERROR(SEARCH("n",S21)))</formula>
    </cfRule>
    <cfRule type="containsText" dxfId="155" priority="149" operator="containsText" text="y">
      <formula>NOT(ISERROR(SEARCH("y",S21)))</formula>
    </cfRule>
  </conditionalFormatting>
  <conditionalFormatting sqref="T21">
    <cfRule type="containsText" dxfId="154" priority="145" operator="containsText" text="n">
      <formula>NOT(ISERROR(SEARCH("n",T21)))</formula>
    </cfRule>
    <cfRule type="containsText" dxfId="153" priority="146" operator="containsText" text="y">
      <formula>NOT(ISERROR(SEARCH("y",T21)))</formula>
    </cfRule>
  </conditionalFormatting>
  <conditionalFormatting sqref="Y21">
    <cfRule type="containsText" dxfId="152" priority="141" operator="containsText" text="n">
      <formula>NOT(ISERROR(SEARCH("n",Y21)))</formula>
    </cfRule>
    <cfRule type="containsText" dxfId="151" priority="142" operator="containsText" text="y">
      <formula>NOT(ISERROR(SEARCH("y",Y21)))</formula>
    </cfRule>
  </conditionalFormatting>
  <conditionalFormatting sqref="Y21">
    <cfRule type="containsText" dxfId="150" priority="139" operator="containsText" text="n">
      <formula>NOT(ISERROR(SEARCH("n",Y21)))</formula>
    </cfRule>
    <cfRule type="containsText" dxfId="149" priority="140" operator="containsText" text="y">
      <formula>NOT(ISERROR(SEARCH("y",Y21)))</formula>
    </cfRule>
  </conditionalFormatting>
  <conditionalFormatting sqref="Y21">
    <cfRule type="containsText" dxfId="148" priority="137" operator="containsText" text="n">
      <formula>NOT(ISERROR(SEARCH("n",Y21)))</formula>
    </cfRule>
    <cfRule type="containsText" dxfId="147" priority="138" operator="containsText" text="y">
      <formula>NOT(ISERROR(SEARCH("y",Y21)))</formula>
    </cfRule>
  </conditionalFormatting>
  <conditionalFormatting sqref="W21:W22">
    <cfRule type="containsText" dxfId="146" priority="130" operator="containsText" text="n">
      <formula>NOT(ISERROR(SEARCH("n",W21)))</formula>
    </cfRule>
    <cfRule type="containsText" dxfId="145" priority="131" operator="containsText" text="y">
      <formula>NOT(ISERROR(SEARCH("y",W21)))</formula>
    </cfRule>
  </conditionalFormatting>
  <conditionalFormatting sqref="I22">
    <cfRule type="containsText" dxfId="144" priority="119" operator="containsText" text="n">
      <formula>NOT(ISERROR(SEARCH("n",I22)))</formula>
    </cfRule>
    <cfRule type="containsText" dxfId="143" priority="120" operator="containsText" text="y">
      <formula>NOT(ISERROR(SEARCH("y",I22)))</formula>
    </cfRule>
  </conditionalFormatting>
  <conditionalFormatting sqref="K22">
    <cfRule type="containsText" dxfId="142" priority="116" operator="containsText" text="n">
      <formula>NOT(ISERROR(SEARCH("n",K22)))</formula>
    </cfRule>
    <cfRule type="containsText" dxfId="141" priority="117" operator="containsText" text="y">
      <formula>NOT(ISERROR(SEARCH("y",K22)))</formula>
    </cfRule>
  </conditionalFormatting>
  <conditionalFormatting sqref="L22">
    <cfRule type="containsText" dxfId="140" priority="113" operator="containsText" text="n">
      <formula>NOT(ISERROR(SEARCH("n",L22)))</formula>
    </cfRule>
    <cfRule type="containsText" dxfId="139" priority="114" operator="containsText" text="y">
      <formula>NOT(ISERROR(SEARCH("y",L22)))</formula>
    </cfRule>
  </conditionalFormatting>
  <conditionalFormatting sqref="O22">
    <cfRule type="containsText" dxfId="138" priority="110" operator="containsText" text="n">
      <formula>NOT(ISERROR(SEARCH("n",O22)))</formula>
    </cfRule>
    <cfRule type="containsText" dxfId="137" priority="111" operator="containsText" text="y">
      <formula>NOT(ISERROR(SEARCH("y",O22)))</formula>
    </cfRule>
  </conditionalFormatting>
  <conditionalFormatting sqref="R22">
    <cfRule type="containsText" dxfId="136" priority="103" operator="containsText" text="n">
      <formula>NOT(ISERROR(SEARCH("n",R22)))</formula>
    </cfRule>
    <cfRule type="containsText" dxfId="135" priority="104" operator="containsText" text="y">
      <formula>NOT(ISERROR(SEARCH("y",R22)))</formula>
    </cfRule>
  </conditionalFormatting>
  <conditionalFormatting sqref="S22">
    <cfRule type="containsText" dxfId="134" priority="100" operator="containsText" text="n">
      <formula>NOT(ISERROR(SEARCH("n",S22)))</formula>
    </cfRule>
    <cfRule type="containsText" dxfId="133" priority="101" operator="containsText" text="y">
      <formula>NOT(ISERROR(SEARCH("y",S22)))</formula>
    </cfRule>
  </conditionalFormatting>
  <conditionalFormatting sqref="T22">
    <cfRule type="containsText" dxfId="132" priority="97" operator="containsText" text="n">
      <formula>NOT(ISERROR(SEARCH("n",T22)))</formula>
    </cfRule>
    <cfRule type="containsText" dxfId="131" priority="98" operator="containsText" text="y">
      <formula>NOT(ISERROR(SEARCH("y",T22)))</formula>
    </cfRule>
  </conditionalFormatting>
  <conditionalFormatting sqref="Y22">
    <cfRule type="containsText" dxfId="130" priority="93" operator="containsText" text="n">
      <formula>NOT(ISERROR(SEARCH("n",Y22)))</formula>
    </cfRule>
    <cfRule type="containsText" dxfId="129" priority="94" operator="containsText" text="y">
      <formula>NOT(ISERROR(SEARCH("y",Y22)))</formula>
    </cfRule>
  </conditionalFormatting>
  <conditionalFormatting sqref="Y22">
    <cfRule type="containsText" dxfId="128" priority="91" operator="containsText" text="n">
      <formula>NOT(ISERROR(SEARCH("n",Y22)))</formula>
    </cfRule>
    <cfRule type="containsText" dxfId="127" priority="92" operator="containsText" text="y">
      <formula>NOT(ISERROR(SEARCH("y",Y22)))</formula>
    </cfRule>
  </conditionalFormatting>
  <conditionalFormatting sqref="Y22">
    <cfRule type="containsText" dxfId="126" priority="89" operator="containsText" text="n">
      <formula>NOT(ISERROR(SEARCH("n",Y22)))</formula>
    </cfRule>
    <cfRule type="containsText" dxfId="125" priority="90" operator="containsText" text="y">
      <formula>NOT(ISERROR(SEARCH("y",Y22)))</formula>
    </cfRule>
  </conditionalFormatting>
  <conditionalFormatting sqref="H22">
    <cfRule type="containsText" dxfId="124" priority="84" operator="containsText" text="EXTERNAL">
      <formula>NOT(ISERROR(SEARCH("EXTERNAL",H22)))</formula>
    </cfRule>
    <cfRule type="containsText" dxfId="123" priority="85" operator="containsText" text="INTERNAL">
      <formula>NOT(ISERROR(SEARCH("INTERNAL",H22)))</formula>
    </cfRule>
  </conditionalFormatting>
  <conditionalFormatting sqref="H23">
    <cfRule type="containsText" dxfId="122" priority="80" operator="containsText" text="EXTERNAL">
      <formula>NOT(ISERROR(SEARCH("EXTERNAL",H23)))</formula>
    </cfRule>
    <cfRule type="containsText" dxfId="121" priority="81" operator="containsText" text="INTERNAL">
      <formula>NOT(ISERROR(SEARCH("INTERNAL",H23)))</formula>
    </cfRule>
  </conditionalFormatting>
  <conditionalFormatting sqref="W23">
    <cfRule type="containsText" dxfId="120" priority="73" operator="containsText" text="n">
      <formula>NOT(ISERROR(SEARCH("n",W23)))</formula>
    </cfRule>
    <cfRule type="containsText" dxfId="119" priority="74" operator="containsText" text="y">
      <formula>NOT(ISERROR(SEARCH("y",W23)))</formula>
    </cfRule>
  </conditionalFormatting>
  <conditionalFormatting sqref="I23">
    <cfRule type="containsText" dxfId="118" priority="70" operator="containsText" text="n">
      <formula>NOT(ISERROR(SEARCH("n",I23)))</formula>
    </cfRule>
    <cfRule type="containsText" dxfId="117" priority="71" operator="containsText" text="y">
      <formula>NOT(ISERROR(SEARCH("y",I23)))</formula>
    </cfRule>
  </conditionalFormatting>
  <conditionalFormatting sqref="K23">
    <cfRule type="containsText" dxfId="116" priority="67" operator="containsText" text="n">
      <formula>NOT(ISERROR(SEARCH("n",K23)))</formula>
    </cfRule>
    <cfRule type="containsText" dxfId="115" priority="68" operator="containsText" text="y">
      <formula>NOT(ISERROR(SEARCH("y",K23)))</formula>
    </cfRule>
  </conditionalFormatting>
  <conditionalFormatting sqref="L23">
    <cfRule type="containsText" dxfId="114" priority="64" operator="containsText" text="n">
      <formula>NOT(ISERROR(SEARCH("n",L23)))</formula>
    </cfRule>
    <cfRule type="containsText" dxfId="113" priority="65" operator="containsText" text="y">
      <formula>NOT(ISERROR(SEARCH("y",L23)))</formula>
    </cfRule>
  </conditionalFormatting>
  <conditionalFormatting sqref="O23">
    <cfRule type="containsText" dxfId="112" priority="61" operator="containsText" text="n">
      <formula>NOT(ISERROR(SEARCH("n",O23)))</formula>
    </cfRule>
    <cfRule type="containsText" dxfId="111" priority="62" operator="containsText" text="y">
      <formula>NOT(ISERROR(SEARCH("y",O23)))</formula>
    </cfRule>
  </conditionalFormatting>
  <conditionalFormatting sqref="R23">
    <cfRule type="containsText" dxfId="110" priority="54" operator="containsText" text="n">
      <formula>NOT(ISERROR(SEARCH("n",R23)))</formula>
    </cfRule>
    <cfRule type="containsText" dxfId="109" priority="55" operator="containsText" text="y">
      <formula>NOT(ISERROR(SEARCH("y",R23)))</formula>
    </cfRule>
  </conditionalFormatting>
  <conditionalFormatting sqref="S23">
    <cfRule type="containsText" dxfId="108" priority="51" operator="containsText" text="n">
      <formula>NOT(ISERROR(SEARCH("n",S23)))</formula>
    </cfRule>
    <cfRule type="containsText" dxfId="107" priority="52" operator="containsText" text="y">
      <formula>NOT(ISERROR(SEARCH("y",S23)))</formula>
    </cfRule>
  </conditionalFormatting>
  <conditionalFormatting sqref="T23">
    <cfRule type="containsText" dxfId="106" priority="48" operator="containsText" text="n">
      <formula>NOT(ISERROR(SEARCH("n",T23)))</formula>
    </cfRule>
    <cfRule type="containsText" dxfId="105" priority="49" operator="containsText" text="y">
      <formula>NOT(ISERROR(SEARCH("y",T23)))</formula>
    </cfRule>
  </conditionalFormatting>
  <conditionalFormatting sqref="Y23">
    <cfRule type="containsText" dxfId="104" priority="44" operator="containsText" text="n">
      <formula>NOT(ISERROR(SEARCH("n",Y23)))</formula>
    </cfRule>
    <cfRule type="containsText" dxfId="103" priority="45" operator="containsText" text="y">
      <formula>NOT(ISERROR(SEARCH("y",Y23)))</formula>
    </cfRule>
  </conditionalFormatting>
  <conditionalFormatting sqref="Y23">
    <cfRule type="containsText" dxfId="102" priority="42" operator="containsText" text="n">
      <formula>NOT(ISERROR(SEARCH("n",Y23)))</formula>
    </cfRule>
    <cfRule type="containsText" dxfId="101" priority="43" operator="containsText" text="y">
      <formula>NOT(ISERROR(SEARCH("y",Y23)))</formula>
    </cfRule>
  </conditionalFormatting>
  <conditionalFormatting sqref="Y23">
    <cfRule type="containsText" dxfId="100" priority="40" operator="containsText" text="n">
      <formula>NOT(ISERROR(SEARCH("n",Y23)))</formula>
    </cfRule>
    <cfRule type="containsText" dxfId="99" priority="41" operator="containsText" text="y">
      <formula>NOT(ISERROR(SEARCH("y",Y23)))</formula>
    </cfRule>
  </conditionalFormatting>
  <conditionalFormatting sqref="C36">
    <cfRule type="expression" dxfId="98" priority="35">
      <formula>IF(LEN(C36) &gt; 32, TRUE,FALSE)</formula>
    </cfRule>
  </conditionalFormatting>
  <conditionalFormatting sqref="J36">
    <cfRule type="expression" dxfId="97" priority="32">
      <formula>IF($I36 = "Y",TRUE,FALSE)</formula>
    </cfRule>
  </conditionalFormatting>
  <conditionalFormatting sqref="J36 A36:C36">
    <cfRule type="expression" dxfId="96" priority="31">
      <formula>IF($G36 = "N",TRUE,FALSE)</formula>
    </cfRule>
  </conditionalFormatting>
  <conditionalFormatting sqref="F36">
    <cfRule type="expression" dxfId="95" priority="30">
      <formula>IF($G36 = "N",TRUE,FALSE)</formula>
    </cfRule>
  </conditionalFormatting>
  <conditionalFormatting sqref="H36">
    <cfRule type="expression" dxfId="94" priority="29">
      <formula>IF($G36 = "Y",TRUE,FALSE)</formula>
    </cfRule>
  </conditionalFormatting>
  <conditionalFormatting sqref="H36">
    <cfRule type="expression" dxfId="93" priority="26">
      <formula>IF($G36 = "N",TRUE,FALSE)</formula>
    </cfRule>
  </conditionalFormatting>
  <conditionalFormatting sqref="H36">
    <cfRule type="containsText" dxfId="92" priority="27" operator="containsText" text="EXTERNAL">
      <formula>NOT(ISERROR(SEARCH("EXTERNAL",H36)))</formula>
    </cfRule>
    <cfRule type="containsText" dxfId="91" priority="28" operator="containsText" text="INTERNAL">
      <formula>NOT(ISERROR(SEARCH("INTERNAL",H36)))</formula>
    </cfRule>
  </conditionalFormatting>
  <conditionalFormatting sqref="I36">
    <cfRule type="expression" dxfId="90" priority="23">
      <formula>IF($G36 = "N",TRUE,FALSE)</formula>
    </cfRule>
  </conditionalFormatting>
  <conditionalFormatting sqref="I36">
    <cfRule type="containsText" dxfId="89" priority="24" operator="containsText" text="n">
      <formula>NOT(ISERROR(SEARCH("n",I36)))</formula>
    </cfRule>
    <cfRule type="containsText" dxfId="88" priority="25" operator="containsText" text="y">
      <formula>NOT(ISERROR(SEARCH("y",I36)))</formula>
    </cfRule>
  </conditionalFormatting>
  <conditionalFormatting sqref="K36:L36">
    <cfRule type="expression" dxfId="87" priority="18">
      <formula>IF($G36 = "N",TRUE,FALSE)</formula>
    </cfRule>
  </conditionalFormatting>
  <conditionalFormatting sqref="K36">
    <cfRule type="containsText" dxfId="86" priority="21" operator="containsText" text="n">
      <formula>NOT(ISERROR(SEARCH("n",K36)))</formula>
    </cfRule>
    <cfRule type="containsText" dxfId="85" priority="22" operator="containsText" text="y">
      <formula>NOT(ISERROR(SEARCH("y",K36)))</formula>
    </cfRule>
  </conditionalFormatting>
  <conditionalFormatting sqref="L36">
    <cfRule type="containsText" dxfId="84" priority="19" operator="containsText" text="n">
      <formula>NOT(ISERROR(SEARCH("n",L36)))</formula>
    </cfRule>
    <cfRule type="containsText" dxfId="83" priority="20" operator="containsText" text="y">
      <formula>NOT(ISERROR(SEARCH("y",L36)))</formula>
    </cfRule>
  </conditionalFormatting>
  <conditionalFormatting sqref="P36:Q36">
    <cfRule type="expression" dxfId="82" priority="17">
      <formula>IF($O36 = "Y",TRUE,FALSE)</formula>
    </cfRule>
  </conditionalFormatting>
  <conditionalFormatting sqref="O36:Q36">
    <cfRule type="expression" dxfId="81" priority="14">
      <formula>IF($G36 = "N",TRUE,FALSE)</formula>
    </cfRule>
  </conditionalFormatting>
  <conditionalFormatting sqref="O36">
    <cfRule type="containsText" dxfId="80" priority="15" operator="containsText" text="n">
      <formula>NOT(ISERROR(SEARCH("n",O36)))</formula>
    </cfRule>
    <cfRule type="containsText" dxfId="79" priority="16" operator="containsText" text="y">
      <formula>NOT(ISERROR(SEARCH("y",O36)))</formula>
    </cfRule>
  </conditionalFormatting>
  <conditionalFormatting sqref="R36:T36">
    <cfRule type="expression" dxfId="78" priority="9">
      <formula>IF($G36 = "N",TRUE,FALSE)</formula>
    </cfRule>
  </conditionalFormatting>
  <conditionalFormatting sqref="T36">
    <cfRule type="containsText" dxfId="77" priority="12" operator="containsText" text="n">
      <formula>NOT(ISERROR(SEARCH("n",T36)))</formula>
    </cfRule>
    <cfRule type="containsText" dxfId="76" priority="13" operator="containsText" text="y">
      <formula>NOT(ISERROR(SEARCH("y",T36)))</formula>
    </cfRule>
  </conditionalFormatting>
  <conditionalFormatting sqref="R36:S36">
    <cfRule type="containsText" dxfId="75" priority="10" operator="containsText" text="n">
      <formula>NOT(ISERROR(SEARCH("n",R36)))</formula>
    </cfRule>
    <cfRule type="containsText" dxfId="74" priority="11" operator="containsText" text="y">
      <formula>NOT(ISERROR(SEARCH("y",R36)))</formula>
    </cfRule>
  </conditionalFormatting>
  <conditionalFormatting sqref="X36">
    <cfRule type="expression" dxfId="73" priority="8">
      <formula>IF($G36 = "N",TRUE,FALSE)</formula>
    </cfRule>
  </conditionalFormatting>
  <conditionalFormatting sqref="Y36">
    <cfRule type="containsText" dxfId="72" priority="6" operator="containsText" text="n">
      <formula>NOT(ISERROR(SEARCH("n",Y36)))</formula>
    </cfRule>
    <cfRule type="containsText" dxfId="71" priority="7" operator="containsText" text="y">
      <formula>NOT(ISERROR(SEARCH("y",Y36)))</formula>
    </cfRule>
  </conditionalFormatting>
  <conditionalFormatting sqref="Y36">
    <cfRule type="containsText" dxfId="70" priority="4" operator="containsText" text="n">
      <formula>NOT(ISERROR(SEARCH("n",Y36)))</formula>
    </cfRule>
    <cfRule type="containsText" dxfId="69" priority="5" operator="containsText" text="y">
      <formula>NOT(ISERROR(SEARCH("y",Y36)))</formula>
    </cfRule>
  </conditionalFormatting>
  <conditionalFormatting sqref="Y36">
    <cfRule type="expression" dxfId="68" priority="1">
      <formula>IF($G36 = "N",TRUE,FALSE)</formula>
    </cfRule>
  </conditionalFormatting>
  <conditionalFormatting sqref="Y36">
    <cfRule type="containsText" dxfId="67" priority="2" operator="containsText" text="n">
      <formula>NOT(ISERROR(SEARCH("n",Y36)))</formula>
    </cfRule>
    <cfRule type="containsText" dxfId="66" priority="3" operator="containsText" text="y">
      <formula>NOT(ISERROR(SEARCH("y",Y36)))</formula>
    </cfRule>
  </conditionalFormatting>
  <hyperlinks>
    <hyperlink ref="D3" r:id="rId1" xr:uid="{393129A0-495E-4422-A0AD-0D5653057F4A}"/>
    <hyperlink ref="D4" r:id="rId2" xr:uid="{E00A33D9-8842-49AB-A128-D0611AABFAA9}"/>
    <hyperlink ref="D5" r:id="rId3" xr:uid="{CFC0BEA6-7DB5-47A3-A4BA-6CB841D95710}"/>
    <hyperlink ref="D6" r:id="rId4" xr:uid="{FBEC58B4-CD59-401B-867F-2876E1A69A15}"/>
    <hyperlink ref="D7" r:id="rId5" xr:uid="{E6F1A977-C750-4CD9-85F1-40A0164AE34D}"/>
    <hyperlink ref="D8" r:id="rId6" xr:uid="{0A2794AA-D44A-4B4B-8427-CC5989BFF039}"/>
    <hyperlink ref="D9" r:id="rId7" xr:uid="{B0C4992E-418B-43F9-89E9-5885AD45A4DA}"/>
    <hyperlink ref="D10" r:id="rId8" xr:uid="{F84C4062-E5EC-46D4-9BB4-BB2F0BB766F1}"/>
    <hyperlink ref="D11" r:id="rId9" xr:uid="{700AD425-C458-4F3C-A8AB-4EC75C89678D}"/>
    <hyperlink ref="D12" r:id="rId10" xr:uid="{1378336D-F1A5-449C-A041-2D8C67209B3E}"/>
    <hyperlink ref="D13" r:id="rId11" xr:uid="{CC15A16D-1C39-443A-BACF-5C902685089F}"/>
    <hyperlink ref="D16" r:id="rId12" xr:uid="{DAF1FDEE-2CB8-4475-BC7C-D4DAE1B1DFB3}"/>
    <hyperlink ref="D17" r:id="rId13" xr:uid="{C9122949-1AA9-4472-B74F-CE2BBCBC5D27}"/>
    <hyperlink ref="D18" r:id="rId14" xr:uid="{3886008B-F32E-4B99-8C9D-B4E2E2F613FD}"/>
    <hyperlink ref="D19" r:id="rId15" xr:uid="{99ACDCA0-9CBB-4C41-92AD-7042E4FFF6C8}"/>
    <hyperlink ref="D30" r:id="rId16" xr:uid="{2E9BBCC0-4E19-4749-9C93-9197DDB10ADB}"/>
    <hyperlink ref="D20" r:id="rId17" xr:uid="{02877468-5098-4833-A522-4BCB058551D9}"/>
    <hyperlink ref="D15" r:id="rId18" xr:uid="{1DB24060-2200-4C4B-8E63-3B77396D7D80}"/>
    <hyperlink ref="D27" r:id="rId19" xr:uid="{60F42D52-51D6-4215-BBAC-62A873ACC0C7}"/>
    <hyperlink ref="D28" r:id="rId20" xr:uid="{758264E0-68A3-4733-A6D7-8280D46CA17D}"/>
    <hyperlink ref="D31" r:id="rId21" xr:uid="{4922C804-5577-4419-AC19-28350063C777}"/>
    <hyperlink ref="D32" r:id="rId22" xr:uid="{F1EAB09E-67FA-4F72-B33E-FD246C578B03}"/>
    <hyperlink ref="D34" r:id="rId23" xr:uid="{53D76FC2-07E4-425E-975D-BB14E9FA7304}"/>
    <hyperlink ref="D14" r:id="rId24" xr:uid="{0631CAE3-DB88-46CB-81AA-CB6C300BF566}"/>
    <hyperlink ref="D35" r:id="rId25" xr:uid="{56DEFA53-F7C2-4F12-884A-073C8030BEDD}"/>
    <hyperlink ref="D21" r:id="rId26" xr:uid="{10FFEE3A-55BB-4A44-B791-98C4AECE31C3}"/>
    <hyperlink ref="D22" r:id="rId27" xr:uid="{5FE6FDC1-2D51-4D00-A764-2682F44125FB}"/>
    <hyperlink ref="D23" r:id="rId28" xr:uid="{D4EB34AD-800F-43C0-9D52-4D5ECEF7C129}"/>
    <hyperlink ref="D29" r:id="rId29" xr:uid="{98031D24-C76C-44C0-81A5-84771D6F8638}"/>
    <hyperlink ref="D33" r:id="rId30" xr:uid="{2904028F-E303-41DF-9BF9-18EEE6EAD773}"/>
  </hyperlinks>
  <pageMargins left="0.7" right="0.7" top="0.75" bottom="0.75" header="0.3" footer="0.3"/>
  <pageSetup paperSize="9" orientation="portrait" r:id="rId31"/>
  <drawing r:id="rId32"/>
  <legacyDrawing r:id="rId3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9" r:id="rId34" name="Button 51">
              <controlPr defaultSize="0" print="0" autoFill="0" autoPict="0" macro="[0]!EMAIL_GENERATION">
                <anchor moveWithCells="1" sizeWithCells="1">
                  <from>
                    <xdr:col>2</xdr:col>
                    <xdr:colOff>66675</xdr:colOff>
                    <xdr:row>0</xdr:row>
                    <xdr:rowOff>66675</xdr:rowOff>
                  </from>
                  <to>
                    <xdr:col>2</xdr:col>
                    <xdr:colOff>2790825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E39DD2EA-9F0D-4A87-808F-E5AE21E8E227}">
          <x14:formula1>
            <xm:f>Selections!$A$2:$A$3</xm:f>
          </x14:formula1>
          <xm:sqref>G39:G105 K39:L105 W3:W26 W39:W105 I39:I105 O39:O105 R39:T105 Y39:Y105 W28:W34 R3:T35 O3:O35 I3:I35 K3:L35 Y3:Y35 G3:G36</xm:sqref>
        </x14:dataValidation>
        <x14:dataValidation type="list" allowBlank="1" showInputMessage="1" showErrorMessage="1" xr:uid="{9F7378EB-9D5C-47E7-8313-3C9FAA2B2942}">
          <x14:formula1>
            <xm:f>Email_List!$C$2:$C$99</xm:f>
          </x14:formula1>
          <xm:sqref>H39:H105 H3:H34</xm:sqref>
        </x14:dataValidation>
        <x14:dataValidation type="list" allowBlank="1" showInputMessage="1" showErrorMessage="1" xr:uid="{0519277E-FF98-48D5-B5EF-3545EC72F3A0}">
          <x14:formula1>
            <xm:f>Selections!$F$1:$F$2</xm:f>
          </x14:formula1>
          <xm:sqref>M39:M105 M3:M34</xm:sqref>
        </x14:dataValidation>
        <x14:dataValidation type="list" allowBlank="1" showInputMessage="1" showErrorMessage="1" xr:uid="{B8DF8699-DA02-478E-AA08-F36179D8506D}">
          <x14:formula1>
            <xm:f>Selections!$I$2:$I$3</xm:f>
          </x14:formula1>
          <xm:sqref>X39:X105 X3:X35</xm:sqref>
        </x14:dataValidation>
        <x14:dataValidation type="list" allowBlank="1" showInputMessage="1" showErrorMessage="1" xr:uid="{55466086-5537-482A-98D1-1B9E52699ED2}">
          <x14:formula1>
            <xm:f>Email_List!$C$2:$C$29</xm:f>
          </x14:formula1>
          <xm:sqref>H35 H21:H23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5EB6F-3239-4568-9CCE-FCDD3680340D}">
  <sheetPr codeName="Sheet3">
    <tabColor rgb="FF03A678"/>
  </sheetPr>
  <dimension ref="A1:T114"/>
  <sheetViews>
    <sheetView showGridLines="0" zoomScale="85" zoomScaleNormal="85" workbookViewId="0">
      <pane ySplit="2" topLeftCell="A11" activePane="bottomLeft" state="frozen"/>
      <selection pane="bottomLeft" activeCell="J29" sqref="J29"/>
    </sheetView>
  </sheetViews>
  <sheetFormatPr defaultColWidth="9.140625" defaultRowHeight="15" outlineLevelCol="1" x14ac:dyDescent="0.25"/>
  <cols>
    <col min="1" max="1" width="4.28515625" style="31" bestFit="1" customWidth="1"/>
    <col min="2" max="2" width="8.5703125" style="31" bestFit="1" customWidth="1"/>
    <col min="3" max="3" width="36" style="31" bestFit="1" customWidth="1"/>
    <col min="4" max="4" width="102.7109375" style="31" hidden="1" customWidth="1" outlineLevel="1"/>
    <col min="5" max="5" width="53.140625" style="31" hidden="1" customWidth="1" outlineLevel="1" collapsed="1"/>
    <col min="6" max="6" width="60" style="31" hidden="1" customWidth="1" outlineLevel="1"/>
    <col min="7" max="7" width="7.85546875" style="31" hidden="1" customWidth="1" outlineLevel="1"/>
    <col min="8" max="8" width="6.42578125" style="31" customWidth="1" collapsed="1"/>
    <col min="9" max="9" width="7" style="31" customWidth="1"/>
    <col min="10" max="10" width="9.140625" style="31" bestFit="1" customWidth="1"/>
    <col min="11" max="11" width="11.28515625" style="31" bestFit="1" customWidth="1"/>
    <col min="12" max="12" width="14.5703125" style="31" bestFit="1" customWidth="1"/>
    <col min="13" max="13" width="9.28515625" style="31" customWidth="1"/>
    <col min="14" max="14" width="20.28515625" style="31" bestFit="1" customWidth="1"/>
    <col min="15" max="15" width="7.28515625" style="31" customWidth="1"/>
    <col min="16" max="16" width="0.85546875" style="30" customWidth="1"/>
    <col min="17" max="16384" width="9.140625" style="30"/>
  </cols>
  <sheetData>
    <row r="1" spans="1:20" ht="44.45" customHeight="1" x14ac:dyDescent="0.25">
      <c r="A1" s="42"/>
      <c r="B1" s="42"/>
      <c r="C1" s="42"/>
      <c r="D1" s="75" t="s">
        <v>431</v>
      </c>
      <c r="E1" s="75"/>
      <c r="F1" s="75"/>
      <c r="G1" s="75"/>
      <c r="H1" s="42"/>
      <c r="I1" s="75" t="s">
        <v>373</v>
      </c>
      <c r="J1" s="75"/>
      <c r="K1" s="75"/>
      <c r="L1" s="75"/>
      <c r="M1" s="75"/>
      <c r="N1" s="75"/>
      <c r="O1" s="42"/>
      <c r="P1" s="33"/>
    </row>
    <row r="2" spans="1:20" ht="47.45" customHeight="1" x14ac:dyDescent="0.25">
      <c r="A2" s="47" t="s">
        <v>180</v>
      </c>
      <c r="B2" s="47" t="s">
        <v>183</v>
      </c>
      <c r="C2" s="47" t="s">
        <v>176</v>
      </c>
      <c r="D2" s="47" t="s">
        <v>177</v>
      </c>
      <c r="E2" s="47" t="s">
        <v>182</v>
      </c>
      <c r="F2" s="47" t="s">
        <v>178</v>
      </c>
      <c r="G2" s="47" t="s">
        <v>351</v>
      </c>
      <c r="H2" s="47" t="s">
        <v>179</v>
      </c>
      <c r="I2" s="47" t="s">
        <v>430</v>
      </c>
      <c r="J2" s="47" t="s">
        <v>348</v>
      </c>
      <c r="K2" s="47" t="s">
        <v>349</v>
      </c>
      <c r="L2" s="47" t="s">
        <v>376</v>
      </c>
      <c r="M2" s="47" t="s">
        <v>429</v>
      </c>
      <c r="N2" s="47" t="s">
        <v>283</v>
      </c>
      <c r="O2" s="47" t="s">
        <v>364</v>
      </c>
      <c r="P2" s="33"/>
    </row>
    <row r="3" spans="1:20" x14ac:dyDescent="0.25">
      <c r="A3" s="40">
        <v>1</v>
      </c>
      <c r="B3" s="41" t="s">
        <v>297</v>
      </c>
      <c r="C3" s="31" t="s">
        <v>322</v>
      </c>
      <c r="D3" s="72" t="s">
        <v>526</v>
      </c>
      <c r="E3" s="35" t="s">
        <v>527</v>
      </c>
      <c r="F3" s="38" t="s">
        <v>184</v>
      </c>
      <c r="G3" s="36" t="s">
        <v>352</v>
      </c>
      <c r="H3" s="37" t="s">
        <v>185</v>
      </c>
      <c r="I3" s="34" t="s">
        <v>191</v>
      </c>
      <c r="J3" s="41" t="s">
        <v>353</v>
      </c>
      <c r="K3" s="43">
        <f ca="1">TODAY()-1</f>
        <v>44850</v>
      </c>
      <c r="L3" s="43" t="s">
        <v>377</v>
      </c>
      <c r="M3" s="41">
        <v>4</v>
      </c>
      <c r="N3" s="41" t="s">
        <v>285</v>
      </c>
      <c r="O3" s="37" t="s">
        <v>185</v>
      </c>
      <c r="P3" s="33"/>
    </row>
    <row r="4" spans="1:20" x14ac:dyDescent="0.25">
      <c r="A4" s="40">
        <v>2</v>
      </c>
      <c r="B4" s="41" t="s">
        <v>298</v>
      </c>
      <c r="C4" s="31" t="s">
        <v>323</v>
      </c>
      <c r="D4" s="72" t="s">
        <v>528</v>
      </c>
      <c r="E4" s="36" t="s">
        <v>548</v>
      </c>
      <c r="F4" s="38" t="s">
        <v>186</v>
      </c>
      <c r="G4" s="36"/>
      <c r="H4" s="37" t="s">
        <v>185</v>
      </c>
      <c r="I4" s="34" t="s">
        <v>191</v>
      </c>
      <c r="J4" s="41" t="s">
        <v>353</v>
      </c>
      <c r="K4" s="43">
        <f t="shared" ref="K4:K13" ca="1" si="0">TODAY()-1</f>
        <v>44850</v>
      </c>
      <c r="L4" s="43" t="s">
        <v>377</v>
      </c>
      <c r="M4" s="41">
        <v>4</v>
      </c>
      <c r="N4" s="41" t="s">
        <v>285</v>
      </c>
      <c r="O4" s="37" t="s">
        <v>185</v>
      </c>
      <c r="P4" s="33"/>
    </row>
    <row r="5" spans="1:20" x14ac:dyDescent="0.25">
      <c r="A5" s="40">
        <v>3</v>
      </c>
      <c r="B5" s="41" t="s">
        <v>299</v>
      </c>
      <c r="C5" s="31" t="s">
        <v>324</v>
      </c>
      <c r="D5" s="72" t="s">
        <v>529</v>
      </c>
      <c r="E5" s="36" t="s">
        <v>549</v>
      </c>
      <c r="F5" s="38" t="s">
        <v>187</v>
      </c>
      <c r="G5" s="36"/>
      <c r="H5" s="37" t="s">
        <v>185</v>
      </c>
      <c r="I5" s="34" t="s">
        <v>191</v>
      </c>
      <c r="J5" s="41" t="s">
        <v>353</v>
      </c>
      <c r="K5" s="43">
        <f t="shared" ca="1" si="0"/>
        <v>44850</v>
      </c>
      <c r="L5" s="43" t="s">
        <v>377</v>
      </c>
      <c r="M5" s="41">
        <v>2</v>
      </c>
      <c r="N5" s="41" t="s">
        <v>284</v>
      </c>
      <c r="O5" s="37" t="s">
        <v>185</v>
      </c>
      <c r="P5" s="33"/>
    </row>
    <row r="6" spans="1:20" x14ac:dyDescent="0.25">
      <c r="A6" s="40">
        <v>4</v>
      </c>
      <c r="B6" s="41" t="s">
        <v>300</v>
      </c>
      <c r="C6" s="31" t="s">
        <v>325</v>
      </c>
      <c r="D6" s="72" t="s">
        <v>530</v>
      </c>
      <c r="E6" s="36" t="s">
        <v>550</v>
      </c>
      <c r="F6" s="38" t="s">
        <v>188</v>
      </c>
      <c r="G6" s="36"/>
      <c r="H6" s="37" t="s">
        <v>185</v>
      </c>
      <c r="I6" s="34" t="s">
        <v>191</v>
      </c>
      <c r="J6" s="41" t="s">
        <v>353</v>
      </c>
      <c r="K6" s="43">
        <f t="shared" ca="1" si="0"/>
        <v>44850</v>
      </c>
      <c r="L6" s="43" t="s">
        <v>377</v>
      </c>
      <c r="M6" s="41">
        <v>1</v>
      </c>
      <c r="N6" s="41" t="s">
        <v>288</v>
      </c>
      <c r="O6" s="37" t="s">
        <v>191</v>
      </c>
      <c r="P6" s="33"/>
    </row>
    <row r="7" spans="1:20" x14ac:dyDescent="0.25">
      <c r="A7" s="40">
        <v>5</v>
      </c>
      <c r="B7" s="41" t="s">
        <v>301</v>
      </c>
      <c r="C7" s="31" t="s">
        <v>314</v>
      </c>
      <c r="D7" s="72" t="s">
        <v>531</v>
      </c>
      <c r="E7" s="36" t="s">
        <v>551</v>
      </c>
      <c r="F7" s="38" t="s">
        <v>189</v>
      </c>
      <c r="G7" s="36"/>
      <c r="H7" s="37" t="s">
        <v>185</v>
      </c>
      <c r="I7" s="34" t="s">
        <v>191</v>
      </c>
      <c r="J7" s="41" t="s">
        <v>353</v>
      </c>
      <c r="K7" s="43">
        <f t="shared" ca="1" si="0"/>
        <v>44850</v>
      </c>
      <c r="L7" s="43" t="s">
        <v>377</v>
      </c>
      <c r="M7" s="41">
        <v>1</v>
      </c>
      <c r="N7" s="41" t="s">
        <v>286</v>
      </c>
      <c r="O7" s="37" t="s">
        <v>191</v>
      </c>
      <c r="P7" s="33"/>
    </row>
    <row r="8" spans="1:20" x14ac:dyDescent="0.25">
      <c r="A8" s="40">
        <v>6</v>
      </c>
      <c r="B8" s="41" t="s">
        <v>302</v>
      </c>
      <c r="C8" s="31" t="s">
        <v>315</v>
      </c>
      <c r="D8" s="72" t="s">
        <v>532</v>
      </c>
      <c r="E8" s="36" t="s">
        <v>190</v>
      </c>
      <c r="F8" s="38" t="s">
        <v>192</v>
      </c>
      <c r="G8" s="36"/>
      <c r="H8" s="37" t="s">
        <v>185</v>
      </c>
      <c r="I8" s="34" t="s">
        <v>185</v>
      </c>
      <c r="J8" s="41" t="s">
        <v>350</v>
      </c>
      <c r="K8" s="43">
        <f ca="1">TODAY()</f>
        <v>44851</v>
      </c>
      <c r="L8" s="43" t="s">
        <v>377</v>
      </c>
      <c r="M8" s="41">
        <v>0</v>
      </c>
      <c r="N8" s="41" t="s">
        <v>287</v>
      </c>
      <c r="O8" s="37" t="s">
        <v>185</v>
      </c>
      <c r="P8" s="33"/>
    </row>
    <row r="9" spans="1:20" x14ac:dyDescent="0.25">
      <c r="A9" s="40">
        <v>7</v>
      </c>
      <c r="B9" s="41" t="s">
        <v>303</v>
      </c>
      <c r="C9" s="31" t="s">
        <v>316</v>
      </c>
      <c r="D9" s="72" t="s">
        <v>533</v>
      </c>
      <c r="E9" s="36" t="s">
        <v>552</v>
      </c>
      <c r="F9" s="38" t="s">
        <v>193</v>
      </c>
      <c r="G9" s="36"/>
      <c r="H9" s="37" t="s">
        <v>185</v>
      </c>
      <c r="I9" s="34" t="s">
        <v>191</v>
      </c>
      <c r="J9" s="41" t="s">
        <v>353</v>
      </c>
      <c r="K9" s="43">
        <f t="shared" ca="1" si="0"/>
        <v>44850</v>
      </c>
      <c r="L9" s="43" t="s">
        <v>377</v>
      </c>
      <c r="M9" s="41">
        <v>2</v>
      </c>
      <c r="N9" s="41" t="s">
        <v>288</v>
      </c>
      <c r="O9" s="37" t="s">
        <v>185</v>
      </c>
      <c r="P9" s="33"/>
    </row>
    <row r="10" spans="1:20" x14ac:dyDescent="0.25">
      <c r="A10" s="40">
        <v>8</v>
      </c>
      <c r="B10" s="41" t="s">
        <v>304</v>
      </c>
      <c r="C10" s="31" t="s">
        <v>317</v>
      </c>
      <c r="D10" s="72" t="s">
        <v>534</v>
      </c>
      <c r="E10" s="36" t="s">
        <v>194</v>
      </c>
      <c r="F10" s="38" t="s">
        <v>195</v>
      </c>
      <c r="G10" s="36"/>
      <c r="H10" s="37" t="s">
        <v>185</v>
      </c>
      <c r="I10" s="34" t="s">
        <v>185</v>
      </c>
      <c r="J10" s="41" t="s">
        <v>350</v>
      </c>
      <c r="K10" s="43">
        <f ca="1">TODAY()</f>
        <v>44851</v>
      </c>
      <c r="L10" s="43" t="s">
        <v>377</v>
      </c>
      <c r="M10" s="41">
        <v>0</v>
      </c>
      <c r="N10" s="41" t="s">
        <v>287</v>
      </c>
      <c r="O10" s="37" t="s">
        <v>185</v>
      </c>
      <c r="P10" s="33"/>
    </row>
    <row r="11" spans="1:20" x14ac:dyDescent="0.25">
      <c r="A11" s="40">
        <v>9</v>
      </c>
      <c r="B11" s="41" t="s">
        <v>305</v>
      </c>
      <c r="C11" s="31" t="s">
        <v>318</v>
      </c>
      <c r="D11" s="72" t="s">
        <v>535</v>
      </c>
      <c r="E11" s="36" t="s">
        <v>196</v>
      </c>
      <c r="F11" s="38" t="s">
        <v>197</v>
      </c>
      <c r="G11" s="36"/>
      <c r="H11" s="37" t="s">
        <v>185</v>
      </c>
      <c r="I11" s="34" t="s">
        <v>185</v>
      </c>
      <c r="J11" s="41" t="s">
        <v>350</v>
      </c>
      <c r="K11" s="43">
        <f ca="1">TODAY()</f>
        <v>44851</v>
      </c>
      <c r="L11" s="43" t="s">
        <v>377</v>
      </c>
      <c r="M11" s="41">
        <v>0</v>
      </c>
      <c r="N11" s="41" t="s">
        <v>287</v>
      </c>
      <c r="O11" s="37" t="s">
        <v>185</v>
      </c>
      <c r="P11" s="33"/>
    </row>
    <row r="12" spans="1:20" x14ac:dyDescent="0.25">
      <c r="A12" s="40">
        <v>10</v>
      </c>
      <c r="B12" s="41" t="s">
        <v>306</v>
      </c>
      <c r="C12" s="31" t="s">
        <v>319</v>
      </c>
      <c r="D12" s="72" t="s">
        <v>536</v>
      </c>
      <c r="E12" s="36" t="s">
        <v>553</v>
      </c>
      <c r="F12" s="38" t="s">
        <v>198</v>
      </c>
      <c r="G12" s="36"/>
      <c r="H12" s="37" t="s">
        <v>185</v>
      </c>
      <c r="I12" s="34" t="s">
        <v>191</v>
      </c>
      <c r="J12" s="41" t="s">
        <v>353</v>
      </c>
      <c r="K12" s="43">
        <f t="shared" ca="1" si="0"/>
        <v>44850</v>
      </c>
      <c r="L12" s="43" t="s">
        <v>377</v>
      </c>
      <c r="M12" s="41">
        <v>1</v>
      </c>
      <c r="N12" s="41" t="s">
        <v>285</v>
      </c>
      <c r="O12" s="37" t="s">
        <v>185</v>
      </c>
      <c r="P12" s="33"/>
      <c r="T12" s="30" t="s">
        <v>584</v>
      </c>
    </row>
    <row r="13" spans="1:20" x14ac:dyDescent="0.25">
      <c r="A13" s="40">
        <v>11</v>
      </c>
      <c r="B13" s="41" t="s">
        <v>307</v>
      </c>
      <c r="C13" s="31" t="s">
        <v>320</v>
      </c>
      <c r="D13" s="72" t="s">
        <v>537</v>
      </c>
      <c r="E13" s="36" t="s">
        <v>557</v>
      </c>
      <c r="F13" s="38" t="s">
        <v>199</v>
      </c>
      <c r="G13" s="36"/>
      <c r="H13" s="37" t="s">
        <v>185</v>
      </c>
      <c r="I13" s="34" t="s">
        <v>191</v>
      </c>
      <c r="J13" s="41" t="s">
        <v>353</v>
      </c>
      <c r="K13" s="43">
        <f t="shared" ca="1" si="0"/>
        <v>44850</v>
      </c>
      <c r="L13" s="43" t="s">
        <v>377</v>
      </c>
      <c r="M13" s="41">
        <v>4</v>
      </c>
      <c r="N13" s="41" t="s">
        <v>289</v>
      </c>
      <c r="O13" s="37" t="s">
        <v>185</v>
      </c>
      <c r="P13" s="33"/>
    </row>
    <row r="14" spans="1:20" x14ac:dyDescent="0.25">
      <c r="A14" s="40">
        <v>12</v>
      </c>
      <c r="B14" s="41" t="s">
        <v>308</v>
      </c>
      <c r="C14" s="31" t="s">
        <v>291</v>
      </c>
      <c r="D14" s="39" t="s">
        <v>326</v>
      </c>
      <c r="E14" s="36" t="s">
        <v>291</v>
      </c>
      <c r="F14" s="38" t="s">
        <v>292</v>
      </c>
      <c r="G14" s="36"/>
      <c r="H14" s="37" t="s">
        <v>185</v>
      </c>
      <c r="I14" s="34" t="s">
        <v>185</v>
      </c>
      <c r="J14" s="41" t="s">
        <v>350</v>
      </c>
      <c r="K14" s="43">
        <f ca="1">TODAY()-1</f>
        <v>44850</v>
      </c>
      <c r="L14" s="43" t="s">
        <v>377</v>
      </c>
      <c r="M14" s="41"/>
      <c r="N14" s="41"/>
      <c r="O14" s="37" t="s">
        <v>185</v>
      </c>
      <c r="P14" s="33"/>
    </row>
    <row r="15" spans="1:20" hidden="1" x14ac:dyDescent="0.25">
      <c r="H15" s="37" t="s">
        <v>185</v>
      </c>
    </row>
    <row r="16" spans="1:20" x14ac:dyDescent="0.25">
      <c r="A16" s="40">
        <v>14</v>
      </c>
      <c r="B16" s="41" t="s">
        <v>310</v>
      </c>
      <c r="C16" s="31" t="s">
        <v>311</v>
      </c>
      <c r="D16" s="72" t="s">
        <v>538</v>
      </c>
      <c r="E16" s="36" t="s">
        <v>294</v>
      </c>
      <c r="F16" s="38" t="s">
        <v>295</v>
      </c>
      <c r="G16" s="36"/>
      <c r="H16" s="37" t="s">
        <v>185</v>
      </c>
      <c r="I16" s="34" t="s">
        <v>185</v>
      </c>
      <c r="J16" s="41" t="s">
        <v>350</v>
      </c>
      <c r="K16" s="43">
        <f ca="1">TODAY()</f>
        <v>44851</v>
      </c>
      <c r="L16" s="43" t="s">
        <v>377</v>
      </c>
      <c r="M16" s="41"/>
      <c r="N16" s="41"/>
      <c r="O16" s="37" t="s">
        <v>191</v>
      </c>
      <c r="P16" s="33"/>
    </row>
    <row r="17" spans="1:16" x14ac:dyDescent="0.25">
      <c r="A17" s="40">
        <v>15</v>
      </c>
      <c r="B17" s="41" t="s">
        <v>310</v>
      </c>
      <c r="C17" s="31" t="s">
        <v>312</v>
      </c>
      <c r="D17" s="72" t="s">
        <v>539</v>
      </c>
      <c r="E17" s="36" t="s">
        <v>408</v>
      </c>
      <c r="F17" s="38" t="s">
        <v>296</v>
      </c>
      <c r="G17" s="36" t="s">
        <v>352</v>
      </c>
      <c r="H17" s="37" t="s">
        <v>185</v>
      </c>
      <c r="I17" s="34" t="s">
        <v>185</v>
      </c>
      <c r="J17" s="41" t="s">
        <v>350</v>
      </c>
      <c r="K17" s="43">
        <f ca="1">TODAY()</f>
        <v>44851</v>
      </c>
      <c r="L17" s="43" t="s">
        <v>378</v>
      </c>
      <c r="M17" s="41">
        <v>0</v>
      </c>
      <c r="N17" s="41" t="s">
        <v>288</v>
      </c>
      <c r="O17" s="37" t="s">
        <v>191</v>
      </c>
      <c r="P17" s="33"/>
    </row>
    <row r="18" spans="1:16" x14ac:dyDescent="0.25">
      <c r="A18" s="40">
        <v>16</v>
      </c>
      <c r="B18" s="41" t="s">
        <v>437</v>
      </c>
      <c r="C18" s="31" t="s">
        <v>436</v>
      </c>
      <c r="D18" s="72" t="s">
        <v>540</v>
      </c>
      <c r="E18" s="36" t="s">
        <v>435</v>
      </c>
      <c r="F18" s="38" t="s">
        <v>434</v>
      </c>
      <c r="G18" s="36" t="s">
        <v>352</v>
      </c>
      <c r="H18" s="37" t="s">
        <v>185</v>
      </c>
      <c r="I18" s="61" t="s">
        <v>185</v>
      </c>
      <c r="J18" s="41" t="s">
        <v>350</v>
      </c>
      <c r="K18" s="43">
        <f ca="1">TODAY()</f>
        <v>44851</v>
      </c>
      <c r="L18" s="41" t="s">
        <v>377</v>
      </c>
      <c r="M18" s="41">
        <v>1</v>
      </c>
      <c r="N18" s="41" t="s">
        <v>289</v>
      </c>
      <c r="O18" s="37" t="s">
        <v>185</v>
      </c>
      <c r="P18" s="33"/>
    </row>
    <row r="19" spans="1:16" x14ac:dyDescent="0.25">
      <c r="A19" s="40">
        <v>18</v>
      </c>
      <c r="B19" s="41" t="s">
        <v>454</v>
      </c>
      <c r="C19" s="31" t="s">
        <v>464</v>
      </c>
      <c r="D19" s="72" t="s">
        <v>541</v>
      </c>
      <c r="E19" s="36" t="s">
        <v>558</v>
      </c>
      <c r="F19" s="38" t="s">
        <v>468</v>
      </c>
      <c r="G19" s="36" t="s">
        <v>352</v>
      </c>
      <c r="H19" s="37" t="s">
        <v>185</v>
      </c>
      <c r="I19" s="34" t="s">
        <v>191</v>
      </c>
      <c r="J19" s="41" t="s">
        <v>353</v>
      </c>
      <c r="K19" s="43">
        <f t="shared" ref="K19:K23" ca="1" si="1">TODAY()-1</f>
        <v>44850</v>
      </c>
      <c r="L19" s="43" t="s">
        <v>377</v>
      </c>
      <c r="M19" s="41">
        <v>1</v>
      </c>
      <c r="N19" s="41" t="s">
        <v>467</v>
      </c>
      <c r="O19" s="37" t="s">
        <v>185</v>
      </c>
      <c r="P19" s="33"/>
    </row>
    <row r="20" spans="1:16" x14ac:dyDescent="0.25">
      <c r="A20" s="40">
        <v>19</v>
      </c>
      <c r="B20" s="41" t="s">
        <v>473</v>
      </c>
      <c r="C20" s="31" t="s">
        <v>476</v>
      </c>
      <c r="D20" s="72" t="s">
        <v>542</v>
      </c>
      <c r="E20" s="36" t="s">
        <v>559</v>
      </c>
      <c r="F20" s="38" t="s">
        <v>477</v>
      </c>
      <c r="G20" s="36" t="s">
        <v>352</v>
      </c>
      <c r="H20" s="37" t="s">
        <v>185</v>
      </c>
      <c r="I20" s="34" t="s">
        <v>191</v>
      </c>
      <c r="J20" s="41" t="s">
        <v>353</v>
      </c>
      <c r="K20" s="43">
        <f t="shared" ca="1" si="1"/>
        <v>44850</v>
      </c>
      <c r="L20" s="43" t="s">
        <v>377</v>
      </c>
      <c r="M20" s="41">
        <v>1</v>
      </c>
      <c r="N20" s="41" t="s">
        <v>467</v>
      </c>
      <c r="O20" s="37" t="s">
        <v>185</v>
      </c>
      <c r="P20" s="33"/>
    </row>
    <row r="21" spans="1:16" x14ac:dyDescent="0.25">
      <c r="A21" s="40">
        <v>20</v>
      </c>
      <c r="B21" s="41" t="s">
        <v>478</v>
      </c>
      <c r="C21" s="31" t="s">
        <v>479</v>
      </c>
      <c r="D21" s="72" t="s">
        <v>543</v>
      </c>
      <c r="E21" s="36" t="s">
        <v>571</v>
      </c>
      <c r="F21" s="38" t="s">
        <v>481</v>
      </c>
      <c r="G21" s="36" t="s">
        <v>352</v>
      </c>
      <c r="H21" s="37" t="s">
        <v>185</v>
      </c>
      <c r="I21" s="34" t="s">
        <v>191</v>
      </c>
      <c r="J21" s="41" t="s">
        <v>353</v>
      </c>
      <c r="K21" s="43">
        <f t="shared" ca="1" si="1"/>
        <v>44850</v>
      </c>
      <c r="L21" s="43" t="s">
        <v>377</v>
      </c>
      <c r="M21" s="41">
        <v>1</v>
      </c>
      <c r="N21" s="41" t="s">
        <v>467</v>
      </c>
      <c r="O21" s="37" t="s">
        <v>185</v>
      </c>
      <c r="P21" s="33"/>
    </row>
    <row r="22" spans="1:16" x14ac:dyDescent="0.25">
      <c r="A22" s="40">
        <v>21</v>
      </c>
      <c r="B22" s="41" t="s">
        <v>482</v>
      </c>
      <c r="C22" s="31" t="s">
        <v>483</v>
      </c>
      <c r="D22" s="72" t="s">
        <v>544</v>
      </c>
      <c r="E22" s="36" t="s">
        <v>560</v>
      </c>
      <c r="F22" s="38" t="s">
        <v>484</v>
      </c>
      <c r="G22" s="36" t="s">
        <v>352</v>
      </c>
      <c r="H22" s="37" t="s">
        <v>185</v>
      </c>
      <c r="I22" s="34" t="s">
        <v>191</v>
      </c>
      <c r="J22" s="41" t="s">
        <v>353</v>
      </c>
      <c r="K22" s="43">
        <f t="shared" ca="1" si="1"/>
        <v>44850</v>
      </c>
      <c r="L22" s="43" t="s">
        <v>377</v>
      </c>
      <c r="M22" s="41">
        <v>1</v>
      </c>
      <c r="N22" s="41" t="s">
        <v>467</v>
      </c>
      <c r="O22" s="37" t="s">
        <v>185</v>
      </c>
      <c r="P22" s="33"/>
    </row>
    <row r="23" spans="1:16" x14ac:dyDescent="0.25">
      <c r="A23" s="40">
        <v>22</v>
      </c>
      <c r="B23" s="41" t="s">
        <v>486</v>
      </c>
      <c r="C23" s="31" t="s">
        <v>487</v>
      </c>
      <c r="D23" s="72" t="s">
        <v>545</v>
      </c>
      <c r="E23" s="36" t="s">
        <v>561</v>
      </c>
      <c r="F23" s="38" t="s">
        <v>488</v>
      </c>
      <c r="G23" s="36" t="s">
        <v>352</v>
      </c>
      <c r="H23" s="37" t="s">
        <v>185</v>
      </c>
      <c r="I23" s="34" t="s">
        <v>191</v>
      </c>
      <c r="J23" s="41" t="s">
        <v>353</v>
      </c>
      <c r="K23" s="43">
        <f t="shared" ca="1" si="1"/>
        <v>44850</v>
      </c>
      <c r="L23" s="43" t="s">
        <v>377</v>
      </c>
      <c r="M23" s="41">
        <v>1</v>
      </c>
      <c r="N23" s="41" t="s">
        <v>467</v>
      </c>
      <c r="O23" s="37" t="s">
        <v>185</v>
      </c>
      <c r="P23" s="33"/>
    </row>
    <row r="24" spans="1:16" x14ac:dyDescent="0.25">
      <c r="A24" s="40">
        <v>23</v>
      </c>
      <c r="B24" s="41" t="s">
        <v>556</v>
      </c>
      <c r="C24" s="31" t="s">
        <v>555</v>
      </c>
      <c r="D24" s="72" t="s">
        <v>554</v>
      </c>
      <c r="E24" s="36" t="s">
        <v>555</v>
      </c>
      <c r="F24" s="38" t="s">
        <v>575</v>
      </c>
      <c r="G24" s="36" t="s">
        <v>352</v>
      </c>
      <c r="H24" s="37" t="s">
        <v>185</v>
      </c>
      <c r="I24" s="34" t="s">
        <v>191</v>
      </c>
      <c r="J24" s="41" t="s">
        <v>353</v>
      </c>
      <c r="K24" s="43">
        <f ca="1">TODAY()-1</f>
        <v>44850</v>
      </c>
      <c r="L24" s="43" t="s">
        <v>377</v>
      </c>
      <c r="M24" s="41">
        <v>1</v>
      </c>
      <c r="N24" s="41" t="s">
        <v>285</v>
      </c>
      <c r="O24" s="37" t="s">
        <v>191</v>
      </c>
      <c r="P24" s="33"/>
    </row>
    <row r="25" spans="1:16" hidden="1" x14ac:dyDescent="0.25">
      <c r="A25" s="40"/>
      <c r="B25" s="41"/>
      <c r="D25" s="72"/>
      <c r="E25" s="36"/>
      <c r="F25" s="38"/>
      <c r="G25" s="36"/>
      <c r="H25" s="37" t="s">
        <v>185</v>
      </c>
      <c r="I25" s="34"/>
      <c r="J25" s="41"/>
      <c r="K25" s="43"/>
      <c r="L25" s="43"/>
      <c r="M25" s="41"/>
      <c r="N25" s="41"/>
      <c r="O25" s="37" t="s">
        <v>185</v>
      </c>
      <c r="P25" s="33"/>
    </row>
    <row r="26" spans="1:16" x14ac:dyDescent="0.25">
      <c r="A26" s="40">
        <v>13</v>
      </c>
      <c r="B26" s="41" t="s">
        <v>309</v>
      </c>
      <c r="C26" s="31" t="s">
        <v>313</v>
      </c>
      <c r="D26" s="72" t="s">
        <v>546</v>
      </c>
      <c r="E26" s="36" t="s">
        <v>562</v>
      </c>
      <c r="F26" s="38" t="s">
        <v>293</v>
      </c>
      <c r="G26" s="36"/>
      <c r="H26" s="37" t="s">
        <v>185</v>
      </c>
      <c r="I26" s="34" t="s">
        <v>191</v>
      </c>
      <c r="J26" s="41" t="s">
        <v>353</v>
      </c>
      <c r="K26" s="43">
        <f ca="1">TODAY()</f>
        <v>44851</v>
      </c>
      <c r="L26" s="43" t="s">
        <v>377</v>
      </c>
      <c r="M26" s="41">
        <v>1</v>
      </c>
      <c r="N26" s="41" t="s">
        <v>289</v>
      </c>
      <c r="O26" s="37" t="s">
        <v>191</v>
      </c>
      <c r="P26" s="33"/>
    </row>
    <row r="27" spans="1:16" x14ac:dyDescent="0.25">
      <c r="A27" s="40">
        <v>17</v>
      </c>
      <c r="B27" s="41" t="s">
        <v>459</v>
      </c>
      <c r="C27" s="31" t="s">
        <v>460</v>
      </c>
      <c r="D27" s="72" t="s">
        <v>547</v>
      </c>
      <c r="E27" s="36" t="s">
        <v>570</v>
      </c>
      <c r="F27" s="38" t="s">
        <v>463</v>
      </c>
      <c r="G27" s="36" t="s">
        <v>352</v>
      </c>
      <c r="H27" s="37" t="s">
        <v>185</v>
      </c>
      <c r="I27" s="34" t="s">
        <v>191</v>
      </c>
      <c r="J27" s="41" t="s">
        <v>353</v>
      </c>
      <c r="K27" s="43">
        <f ca="1">TODAY()+1</f>
        <v>44852</v>
      </c>
      <c r="L27" s="41" t="s">
        <v>377</v>
      </c>
      <c r="M27" s="41">
        <v>5</v>
      </c>
      <c r="N27" s="41" t="s">
        <v>288</v>
      </c>
      <c r="O27" s="37" t="s">
        <v>185</v>
      </c>
      <c r="P27" s="33"/>
    </row>
    <row r="28" spans="1:16" x14ac:dyDescent="0.25">
      <c r="A28" s="40">
        <v>23</v>
      </c>
      <c r="B28" s="41"/>
      <c r="D28" s="39" t="s">
        <v>181</v>
      </c>
      <c r="E28" s="36"/>
      <c r="F28" s="38"/>
      <c r="G28" s="36"/>
      <c r="H28" s="36"/>
      <c r="J28" s="41"/>
      <c r="K28" s="41"/>
      <c r="L28" s="41"/>
      <c r="M28" s="41"/>
      <c r="N28" s="41"/>
      <c r="O28" s="36"/>
      <c r="P28" s="33"/>
    </row>
    <row r="29" spans="1:16" x14ac:dyDescent="0.25">
      <c r="A29" s="40">
        <v>24</v>
      </c>
      <c r="B29" s="41"/>
      <c r="D29" s="39" t="s">
        <v>181</v>
      </c>
      <c r="E29" s="36"/>
      <c r="F29" s="38"/>
      <c r="G29" s="36"/>
      <c r="H29" s="36"/>
      <c r="J29" s="41"/>
      <c r="K29" s="41"/>
      <c r="L29" s="41"/>
      <c r="M29" s="41"/>
      <c r="N29" s="41"/>
      <c r="O29" s="36"/>
      <c r="P29" s="33"/>
    </row>
    <row r="30" spans="1:16" x14ac:dyDescent="0.25">
      <c r="A30" s="40">
        <v>25</v>
      </c>
      <c r="B30" s="41"/>
      <c r="D30" s="39" t="s">
        <v>181</v>
      </c>
      <c r="E30" s="36"/>
      <c r="F30" s="38"/>
      <c r="G30" s="36"/>
      <c r="H30" s="36"/>
      <c r="J30" s="41"/>
      <c r="K30" s="41"/>
      <c r="L30" s="41"/>
      <c r="M30" s="41"/>
      <c r="N30" s="41"/>
      <c r="O30" s="36"/>
      <c r="P30" s="33"/>
    </row>
    <row r="31" spans="1:16" x14ac:dyDescent="0.25">
      <c r="A31" s="40">
        <v>26</v>
      </c>
      <c r="B31" s="41"/>
      <c r="D31" s="39" t="s">
        <v>181</v>
      </c>
      <c r="E31" s="36"/>
      <c r="F31" s="38"/>
      <c r="G31" s="36"/>
      <c r="H31" s="36"/>
      <c r="J31" s="41"/>
      <c r="K31" s="41"/>
      <c r="L31" s="41"/>
      <c r="M31" s="41"/>
      <c r="N31" s="41"/>
      <c r="O31" s="36"/>
      <c r="P31" s="33"/>
    </row>
    <row r="32" spans="1:16" x14ac:dyDescent="0.25">
      <c r="A32" s="40">
        <v>27</v>
      </c>
      <c r="B32" s="41"/>
      <c r="D32" s="39" t="s">
        <v>181</v>
      </c>
      <c r="E32" s="36"/>
      <c r="F32" s="38"/>
      <c r="G32" s="36"/>
      <c r="H32" s="36"/>
      <c r="J32" s="41"/>
      <c r="K32" s="41"/>
      <c r="L32" s="41"/>
      <c r="M32" s="41"/>
      <c r="N32" s="41"/>
      <c r="O32" s="36"/>
      <c r="P32" s="33"/>
    </row>
    <row r="33" spans="1:16" x14ac:dyDescent="0.25">
      <c r="A33" s="40">
        <v>28</v>
      </c>
      <c r="B33" s="41"/>
      <c r="D33" s="39" t="s">
        <v>181</v>
      </c>
      <c r="E33" s="36"/>
      <c r="F33" s="38"/>
      <c r="G33" s="36"/>
      <c r="H33" s="36"/>
      <c r="J33" s="41"/>
      <c r="K33" s="41"/>
      <c r="L33" s="41"/>
      <c r="M33" s="41"/>
      <c r="N33" s="41"/>
      <c r="O33" s="36"/>
      <c r="P33" s="33"/>
    </row>
    <row r="34" spans="1:16" x14ac:dyDescent="0.25">
      <c r="A34" s="40">
        <v>29</v>
      </c>
      <c r="B34" s="41"/>
      <c r="D34" s="39" t="s">
        <v>181</v>
      </c>
      <c r="E34" s="36"/>
      <c r="F34" s="38"/>
      <c r="G34" s="36"/>
      <c r="H34" s="36"/>
      <c r="J34" s="41"/>
      <c r="K34" s="41"/>
      <c r="L34" s="41"/>
      <c r="M34" s="41"/>
      <c r="N34" s="41"/>
      <c r="O34" s="36"/>
      <c r="P34" s="33"/>
    </row>
    <row r="35" spans="1:16" x14ac:dyDescent="0.25">
      <c r="A35" s="40">
        <v>30</v>
      </c>
      <c r="B35" s="41"/>
      <c r="D35" s="39" t="s">
        <v>181</v>
      </c>
      <c r="E35" s="36"/>
      <c r="F35" s="38"/>
      <c r="G35" s="36"/>
      <c r="H35" s="36"/>
      <c r="J35" s="41"/>
      <c r="K35" s="41"/>
      <c r="L35" s="41"/>
      <c r="M35" s="41"/>
      <c r="N35" s="41"/>
      <c r="O35" s="36"/>
      <c r="P35" s="33"/>
    </row>
    <row r="36" spans="1:16" x14ac:dyDescent="0.25">
      <c r="A36" s="40">
        <v>31</v>
      </c>
      <c r="B36" s="41"/>
      <c r="D36" s="39" t="s">
        <v>181</v>
      </c>
      <c r="E36" s="36"/>
      <c r="F36" s="38"/>
      <c r="G36" s="36"/>
      <c r="H36" s="36"/>
      <c r="J36" s="41"/>
      <c r="K36" s="41"/>
      <c r="L36" s="41"/>
      <c r="M36" s="41"/>
      <c r="N36" s="41"/>
      <c r="O36" s="36"/>
      <c r="P36" s="33"/>
    </row>
    <row r="37" spans="1:16" x14ac:dyDescent="0.25">
      <c r="A37" s="40">
        <v>32</v>
      </c>
      <c r="B37" s="41"/>
      <c r="D37" s="39" t="s">
        <v>181</v>
      </c>
      <c r="E37" s="36"/>
      <c r="F37" s="38"/>
      <c r="G37" s="36"/>
      <c r="H37" s="36"/>
      <c r="J37" s="41"/>
      <c r="K37" s="41"/>
      <c r="L37" s="41"/>
      <c r="M37" s="41"/>
      <c r="N37" s="41"/>
      <c r="O37" s="36"/>
      <c r="P37" s="33"/>
    </row>
    <row r="38" spans="1:16" x14ac:dyDescent="0.25">
      <c r="A38" s="40">
        <v>33</v>
      </c>
      <c r="B38" s="41"/>
      <c r="D38" s="39" t="s">
        <v>181</v>
      </c>
      <c r="E38" s="36"/>
      <c r="F38" s="38"/>
      <c r="G38" s="36"/>
      <c r="H38" s="36"/>
      <c r="J38" s="41"/>
      <c r="K38" s="41"/>
      <c r="L38" s="41"/>
      <c r="M38" s="41"/>
      <c r="N38" s="41"/>
      <c r="O38" s="36"/>
      <c r="P38" s="33"/>
    </row>
    <row r="39" spans="1:16" x14ac:dyDescent="0.25">
      <c r="A39" s="40">
        <v>34</v>
      </c>
      <c r="B39" s="41"/>
      <c r="D39" s="39" t="s">
        <v>181</v>
      </c>
      <c r="E39" s="36"/>
      <c r="F39" s="38"/>
      <c r="G39" s="36"/>
      <c r="H39" s="36"/>
      <c r="J39" s="41"/>
      <c r="K39" s="41"/>
      <c r="L39" s="41"/>
      <c r="M39" s="41"/>
      <c r="N39" s="41"/>
      <c r="O39" s="36"/>
      <c r="P39" s="33"/>
    </row>
    <row r="40" spans="1:16" x14ac:dyDescent="0.25">
      <c r="A40" s="40">
        <v>35</v>
      </c>
      <c r="B40" s="41"/>
      <c r="D40" s="39" t="s">
        <v>181</v>
      </c>
      <c r="E40" s="36"/>
      <c r="F40" s="38"/>
      <c r="G40" s="36"/>
      <c r="H40" s="36"/>
      <c r="J40" s="41"/>
      <c r="K40" s="41"/>
      <c r="L40" s="41"/>
      <c r="M40" s="41"/>
      <c r="N40" s="41"/>
      <c r="O40" s="36"/>
      <c r="P40" s="33"/>
    </row>
    <row r="41" spans="1:16" x14ac:dyDescent="0.25">
      <c r="A41" s="40">
        <v>36</v>
      </c>
      <c r="B41" s="41"/>
      <c r="D41" s="39" t="s">
        <v>181</v>
      </c>
      <c r="E41" s="36"/>
      <c r="F41" s="38"/>
      <c r="G41" s="36"/>
      <c r="H41" s="36"/>
      <c r="J41" s="41"/>
      <c r="K41" s="41"/>
      <c r="L41" s="41"/>
      <c r="M41" s="41"/>
      <c r="N41" s="41"/>
      <c r="O41" s="36"/>
      <c r="P41" s="33"/>
    </row>
    <row r="42" spans="1:16" x14ac:dyDescent="0.25">
      <c r="A42" s="40">
        <v>37</v>
      </c>
      <c r="B42" s="41"/>
      <c r="D42" s="39" t="s">
        <v>181</v>
      </c>
      <c r="E42" s="36"/>
      <c r="F42" s="38"/>
      <c r="G42" s="36"/>
      <c r="H42" s="36"/>
      <c r="J42" s="41"/>
      <c r="K42" s="41"/>
      <c r="L42" s="41"/>
      <c r="M42" s="41"/>
      <c r="N42" s="41"/>
      <c r="O42" s="36"/>
      <c r="P42" s="33"/>
    </row>
    <row r="43" spans="1:16" x14ac:dyDescent="0.25">
      <c r="A43" s="40">
        <v>38</v>
      </c>
      <c r="B43" s="41"/>
      <c r="D43" s="39" t="s">
        <v>181</v>
      </c>
      <c r="E43" s="36"/>
      <c r="F43" s="38"/>
      <c r="G43" s="36"/>
      <c r="H43" s="36"/>
      <c r="J43" s="41"/>
      <c r="K43" s="41"/>
      <c r="L43" s="41"/>
      <c r="M43" s="41"/>
      <c r="N43" s="41"/>
      <c r="O43" s="36"/>
      <c r="P43" s="33"/>
    </row>
    <row r="44" spans="1:16" x14ac:dyDescent="0.25">
      <c r="A44" s="40">
        <v>39</v>
      </c>
      <c r="B44" s="41"/>
      <c r="D44" s="39" t="s">
        <v>181</v>
      </c>
      <c r="E44" s="36"/>
      <c r="F44" s="38"/>
      <c r="G44" s="36"/>
      <c r="H44" s="36"/>
      <c r="J44" s="41"/>
      <c r="K44" s="41"/>
      <c r="L44" s="41"/>
      <c r="M44" s="41"/>
      <c r="N44" s="41"/>
      <c r="O44" s="36"/>
      <c r="P44" s="33"/>
    </row>
    <row r="45" spans="1:16" x14ac:dyDescent="0.25">
      <c r="A45" s="40">
        <v>40</v>
      </c>
      <c r="B45" s="41"/>
      <c r="D45" s="39" t="s">
        <v>181</v>
      </c>
      <c r="E45" s="36"/>
      <c r="F45" s="38"/>
      <c r="G45" s="36"/>
      <c r="H45" s="36"/>
      <c r="J45" s="41"/>
      <c r="K45" s="41"/>
      <c r="L45" s="41"/>
      <c r="M45" s="41"/>
      <c r="N45" s="41"/>
      <c r="O45" s="36"/>
      <c r="P45" s="33"/>
    </row>
    <row r="46" spans="1:16" x14ac:dyDescent="0.25">
      <c r="A46" s="40">
        <v>41</v>
      </c>
      <c r="B46" s="41"/>
      <c r="D46" s="39" t="s">
        <v>181</v>
      </c>
      <c r="E46" s="36"/>
      <c r="F46" s="38"/>
      <c r="G46" s="36"/>
      <c r="H46" s="36"/>
      <c r="J46" s="41"/>
      <c r="K46" s="41"/>
      <c r="L46" s="41"/>
      <c r="M46" s="41"/>
      <c r="N46" s="41"/>
      <c r="O46" s="36"/>
      <c r="P46" s="33"/>
    </row>
    <row r="47" spans="1:16" x14ac:dyDescent="0.25">
      <c r="A47" s="40">
        <v>42</v>
      </c>
      <c r="B47" s="41"/>
      <c r="D47" s="39" t="s">
        <v>181</v>
      </c>
      <c r="E47" s="36"/>
      <c r="F47" s="38"/>
      <c r="G47" s="36"/>
      <c r="H47" s="36"/>
      <c r="J47" s="41"/>
      <c r="K47" s="41"/>
      <c r="L47" s="41"/>
      <c r="M47" s="41"/>
      <c r="N47" s="41"/>
      <c r="O47" s="36"/>
      <c r="P47" s="33"/>
    </row>
    <row r="48" spans="1:16" x14ac:dyDescent="0.25">
      <c r="A48" s="40">
        <v>43</v>
      </c>
      <c r="B48" s="41"/>
      <c r="D48" s="39" t="s">
        <v>181</v>
      </c>
      <c r="E48" s="36"/>
      <c r="F48" s="38"/>
      <c r="G48" s="36"/>
      <c r="H48" s="36"/>
      <c r="J48" s="41"/>
      <c r="K48" s="41"/>
      <c r="L48" s="41"/>
      <c r="M48" s="41"/>
      <c r="N48" s="41"/>
      <c r="O48" s="36"/>
      <c r="P48" s="33"/>
    </row>
    <row r="49" spans="1:16" x14ac:dyDescent="0.25">
      <c r="A49" s="40">
        <v>44</v>
      </c>
      <c r="B49" s="41"/>
      <c r="D49" s="39" t="s">
        <v>181</v>
      </c>
      <c r="E49" s="36"/>
      <c r="F49" s="38"/>
      <c r="G49" s="36"/>
      <c r="H49" s="36"/>
      <c r="J49" s="41"/>
      <c r="K49" s="41"/>
      <c r="L49" s="41"/>
      <c r="M49" s="41"/>
      <c r="N49" s="41"/>
      <c r="O49" s="36"/>
      <c r="P49" s="33"/>
    </row>
    <row r="50" spans="1:16" x14ac:dyDescent="0.25">
      <c r="A50" s="40">
        <v>45</v>
      </c>
      <c r="B50" s="41"/>
      <c r="D50" s="39" t="s">
        <v>181</v>
      </c>
      <c r="E50" s="36"/>
      <c r="F50" s="38"/>
      <c r="G50" s="36"/>
      <c r="H50" s="36"/>
      <c r="J50" s="41"/>
      <c r="K50" s="41"/>
      <c r="L50" s="41"/>
      <c r="M50" s="41"/>
      <c r="N50" s="41"/>
      <c r="O50" s="36"/>
      <c r="P50" s="33"/>
    </row>
    <row r="51" spans="1:16" x14ac:dyDescent="0.25">
      <c r="A51" s="40">
        <v>46</v>
      </c>
      <c r="B51" s="41"/>
      <c r="D51" s="39" t="s">
        <v>181</v>
      </c>
      <c r="E51" s="36"/>
      <c r="F51" s="38"/>
      <c r="G51" s="36"/>
      <c r="H51" s="36"/>
      <c r="J51" s="41"/>
      <c r="K51" s="41"/>
      <c r="L51" s="41"/>
      <c r="M51" s="41"/>
      <c r="N51" s="41"/>
      <c r="O51" s="36"/>
      <c r="P51" s="33"/>
    </row>
    <row r="52" spans="1:16" x14ac:dyDescent="0.25">
      <c r="A52" s="40">
        <v>47</v>
      </c>
      <c r="B52" s="41"/>
      <c r="D52" s="39" t="s">
        <v>181</v>
      </c>
      <c r="E52" s="36"/>
      <c r="F52" s="38"/>
      <c r="G52" s="36"/>
      <c r="H52" s="36"/>
      <c r="J52" s="41"/>
      <c r="K52" s="41"/>
      <c r="L52" s="41"/>
      <c r="M52" s="41"/>
      <c r="N52" s="41"/>
      <c r="O52" s="36"/>
      <c r="P52" s="33"/>
    </row>
    <row r="53" spans="1:16" x14ac:dyDescent="0.25">
      <c r="A53" s="40">
        <v>48</v>
      </c>
      <c r="B53" s="41"/>
      <c r="D53" s="39" t="s">
        <v>181</v>
      </c>
      <c r="E53" s="36"/>
      <c r="F53" s="38"/>
      <c r="G53" s="36"/>
      <c r="H53" s="36"/>
      <c r="J53" s="41"/>
      <c r="K53" s="41"/>
      <c r="L53" s="41"/>
      <c r="M53" s="41"/>
      <c r="N53" s="41"/>
      <c r="O53" s="36"/>
      <c r="P53" s="33"/>
    </row>
    <row r="54" spans="1:16" x14ac:dyDescent="0.25">
      <c r="A54" s="40">
        <v>49</v>
      </c>
      <c r="B54" s="41"/>
      <c r="D54" s="39" t="s">
        <v>181</v>
      </c>
      <c r="E54" s="36"/>
      <c r="F54" s="38"/>
      <c r="G54" s="36"/>
      <c r="H54" s="36"/>
      <c r="J54" s="41"/>
      <c r="K54" s="41"/>
      <c r="L54" s="41"/>
      <c r="M54" s="41"/>
      <c r="N54" s="41"/>
      <c r="O54" s="36"/>
      <c r="P54" s="33"/>
    </row>
    <row r="55" spans="1:16" x14ac:dyDescent="0.25">
      <c r="A55" s="40">
        <v>50</v>
      </c>
      <c r="B55" s="41"/>
      <c r="D55" s="39" t="s">
        <v>181</v>
      </c>
      <c r="E55" s="36"/>
      <c r="F55" s="38"/>
      <c r="G55" s="36"/>
      <c r="H55" s="36"/>
      <c r="J55" s="41"/>
      <c r="K55" s="41"/>
      <c r="L55" s="41"/>
      <c r="M55" s="41"/>
      <c r="N55" s="41"/>
      <c r="O55" s="36"/>
      <c r="P55" s="33"/>
    </row>
    <row r="56" spans="1:16" x14ac:dyDescent="0.25">
      <c r="A56" s="40">
        <v>51</v>
      </c>
      <c r="B56" s="41"/>
      <c r="D56" s="39" t="s">
        <v>181</v>
      </c>
      <c r="E56" s="36"/>
      <c r="F56" s="38"/>
      <c r="G56" s="36"/>
      <c r="H56" s="36"/>
      <c r="J56" s="41"/>
      <c r="K56" s="41"/>
      <c r="L56" s="41"/>
      <c r="M56" s="41"/>
      <c r="N56" s="41"/>
      <c r="O56" s="36"/>
      <c r="P56" s="33"/>
    </row>
    <row r="57" spans="1:16" x14ac:dyDescent="0.25">
      <c r="A57" s="40">
        <v>52</v>
      </c>
      <c r="B57" s="41"/>
      <c r="D57" s="39" t="s">
        <v>181</v>
      </c>
      <c r="E57" s="36"/>
      <c r="F57" s="38"/>
      <c r="G57" s="36"/>
      <c r="H57" s="36"/>
      <c r="J57" s="41"/>
      <c r="K57" s="41"/>
      <c r="L57" s="41"/>
      <c r="M57" s="41"/>
      <c r="N57" s="41"/>
      <c r="O57" s="36"/>
      <c r="P57" s="33"/>
    </row>
    <row r="58" spans="1:16" x14ac:dyDescent="0.25">
      <c r="A58" s="40">
        <v>53</v>
      </c>
      <c r="B58" s="41"/>
      <c r="D58" s="39" t="s">
        <v>181</v>
      </c>
      <c r="E58" s="36"/>
      <c r="F58" s="38"/>
      <c r="G58" s="36"/>
      <c r="H58" s="36"/>
      <c r="J58" s="41"/>
      <c r="K58" s="41"/>
      <c r="L58" s="41"/>
      <c r="M58" s="41"/>
      <c r="N58" s="41"/>
      <c r="O58" s="36"/>
      <c r="P58" s="33"/>
    </row>
    <row r="59" spans="1:16" x14ac:dyDescent="0.25">
      <c r="A59" s="40">
        <v>54</v>
      </c>
      <c r="B59" s="41"/>
      <c r="D59" s="39" t="s">
        <v>181</v>
      </c>
      <c r="E59" s="36"/>
      <c r="F59" s="38"/>
      <c r="G59" s="36"/>
      <c r="H59" s="36"/>
      <c r="J59" s="41"/>
      <c r="K59" s="41"/>
      <c r="L59" s="41"/>
      <c r="M59" s="41"/>
      <c r="N59" s="41"/>
      <c r="O59" s="36"/>
      <c r="P59" s="33"/>
    </row>
    <row r="60" spans="1:16" x14ac:dyDescent="0.25">
      <c r="A60" s="40">
        <v>55</v>
      </c>
      <c r="B60" s="41"/>
      <c r="D60" s="39" t="s">
        <v>181</v>
      </c>
      <c r="E60" s="36"/>
      <c r="F60" s="38"/>
      <c r="G60" s="36"/>
      <c r="H60" s="36"/>
      <c r="J60" s="41"/>
      <c r="K60" s="41"/>
      <c r="L60" s="41"/>
      <c r="M60" s="41"/>
      <c r="N60" s="41"/>
      <c r="O60" s="36"/>
      <c r="P60" s="33"/>
    </row>
    <row r="61" spans="1:16" x14ac:dyDescent="0.25">
      <c r="A61" s="40">
        <v>56</v>
      </c>
      <c r="B61" s="41"/>
      <c r="D61" s="39" t="s">
        <v>181</v>
      </c>
      <c r="E61" s="36"/>
      <c r="F61" s="38"/>
      <c r="G61" s="36"/>
      <c r="H61" s="36"/>
      <c r="J61" s="41"/>
      <c r="K61" s="41"/>
      <c r="L61" s="41"/>
      <c r="M61" s="41"/>
      <c r="N61" s="41"/>
      <c r="O61" s="36"/>
      <c r="P61" s="33"/>
    </row>
    <row r="62" spans="1:16" x14ac:dyDescent="0.25">
      <c r="A62" s="40">
        <v>57</v>
      </c>
      <c r="B62" s="41"/>
      <c r="D62" s="39" t="s">
        <v>181</v>
      </c>
      <c r="E62" s="36"/>
      <c r="F62" s="38"/>
      <c r="G62" s="36"/>
      <c r="H62" s="36"/>
      <c r="J62" s="41"/>
      <c r="K62" s="41"/>
      <c r="L62" s="41"/>
      <c r="M62" s="41"/>
      <c r="N62" s="41"/>
      <c r="O62" s="36"/>
      <c r="P62" s="33"/>
    </row>
    <row r="63" spans="1:16" x14ac:dyDescent="0.25">
      <c r="A63" s="40">
        <v>58</v>
      </c>
      <c r="B63" s="41"/>
      <c r="D63" s="39" t="s">
        <v>181</v>
      </c>
      <c r="E63" s="36"/>
      <c r="F63" s="38"/>
      <c r="G63" s="36"/>
      <c r="H63" s="36"/>
      <c r="J63" s="41"/>
      <c r="K63" s="41"/>
      <c r="L63" s="41"/>
      <c r="M63" s="41"/>
      <c r="N63" s="41"/>
      <c r="O63" s="36"/>
      <c r="P63" s="33"/>
    </row>
    <row r="64" spans="1:16" x14ac:dyDescent="0.25">
      <c r="A64" s="40">
        <v>59</v>
      </c>
      <c r="B64" s="41"/>
      <c r="D64" s="39" t="s">
        <v>181</v>
      </c>
      <c r="E64" s="36"/>
      <c r="F64" s="38"/>
      <c r="G64" s="36"/>
      <c r="H64" s="36"/>
      <c r="J64" s="41"/>
      <c r="K64" s="41"/>
      <c r="L64" s="41"/>
      <c r="M64" s="41"/>
      <c r="N64" s="41"/>
      <c r="O64" s="36"/>
      <c r="P64" s="33"/>
    </row>
    <row r="65" spans="1:16" x14ac:dyDescent="0.25">
      <c r="A65" s="40">
        <v>60</v>
      </c>
      <c r="B65" s="41"/>
      <c r="D65" s="39" t="s">
        <v>181</v>
      </c>
      <c r="E65" s="36"/>
      <c r="F65" s="38"/>
      <c r="G65" s="36"/>
      <c r="H65" s="36"/>
      <c r="J65" s="41"/>
      <c r="K65" s="41"/>
      <c r="L65" s="41"/>
      <c r="M65" s="41"/>
      <c r="N65" s="41"/>
      <c r="O65" s="36"/>
      <c r="P65" s="33"/>
    </row>
    <row r="66" spans="1:16" x14ac:dyDescent="0.25">
      <c r="A66" s="40">
        <v>61</v>
      </c>
      <c r="B66" s="41"/>
      <c r="D66" s="39" t="s">
        <v>181</v>
      </c>
      <c r="E66" s="36"/>
      <c r="F66" s="38"/>
      <c r="G66" s="36"/>
      <c r="H66" s="36"/>
      <c r="J66" s="41"/>
      <c r="K66" s="41"/>
      <c r="L66" s="41"/>
      <c r="M66" s="41"/>
      <c r="N66" s="41"/>
      <c r="O66" s="36"/>
      <c r="P66" s="33"/>
    </row>
    <row r="67" spans="1:16" x14ac:dyDescent="0.25">
      <c r="A67" s="40">
        <v>62</v>
      </c>
      <c r="B67" s="41"/>
      <c r="D67" s="39" t="s">
        <v>181</v>
      </c>
      <c r="E67" s="36"/>
      <c r="F67" s="38"/>
      <c r="G67" s="36"/>
      <c r="H67" s="36"/>
      <c r="J67" s="41"/>
      <c r="K67" s="41"/>
      <c r="L67" s="41"/>
      <c r="M67" s="41"/>
      <c r="N67" s="41"/>
      <c r="O67" s="36"/>
      <c r="P67" s="33"/>
    </row>
    <row r="68" spans="1:16" x14ac:dyDescent="0.25">
      <c r="A68" s="40">
        <v>63</v>
      </c>
      <c r="B68" s="41"/>
      <c r="D68" s="39" t="s">
        <v>181</v>
      </c>
      <c r="E68" s="36"/>
      <c r="F68" s="38"/>
      <c r="G68" s="36"/>
      <c r="H68" s="36"/>
      <c r="J68" s="41"/>
      <c r="K68" s="41"/>
      <c r="L68" s="41"/>
      <c r="M68" s="41"/>
      <c r="N68" s="41"/>
      <c r="O68" s="36"/>
      <c r="P68" s="33"/>
    </row>
    <row r="69" spans="1:16" x14ac:dyDescent="0.25">
      <c r="A69" s="40">
        <v>64</v>
      </c>
      <c r="B69" s="41"/>
      <c r="D69" s="39" t="s">
        <v>181</v>
      </c>
      <c r="E69" s="36"/>
      <c r="F69" s="38"/>
      <c r="G69" s="36"/>
      <c r="H69" s="36"/>
      <c r="J69" s="41"/>
      <c r="K69" s="41"/>
      <c r="L69" s="41"/>
      <c r="M69" s="41"/>
      <c r="N69" s="41"/>
      <c r="O69" s="36"/>
      <c r="P69" s="33"/>
    </row>
    <row r="70" spans="1:16" x14ac:dyDescent="0.25">
      <c r="A70" s="40">
        <v>65</v>
      </c>
      <c r="B70" s="41"/>
      <c r="D70" s="39" t="s">
        <v>181</v>
      </c>
      <c r="E70" s="36"/>
      <c r="F70" s="38"/>
      <c r="G70" s="36"/>
      <c r="H70" s="36"/>
      <c r="J70" s="41"/>
      <c r="K70" s="41"/>
      <c r="L70" s="41"/>
      <c r="M70" s="41"/>
      <c r="N70" s="41"/>
      <c r="O70" s="36"/>
      <c r="P70" s="33"/>
    </row>
    <row r="71" spans="1:16" x14ac:dyDescent="0.25">
      <c r="A71" s="40">
        <v>66</v>
      </c>
      <c r="B71" s="41"/>
      <c r="D71" s="39" t="s">
        <v>181</v>
      </c>
      <c r="E71" s="36"/>
      <c r="F71" s="38"/>
      <c r="G71" s="36"/>
      <c r="H71" s="36"/>
      <c r="J71" s="41"/>
      <c r="K71" s="41"/>
      <c r="L71" s="41"/>
      <c r="M71" s="41"/>
      <c r="N71" s="41"/>
      <c r="O71" s="36"/>
      <c r="P71" s="33"/>
    </row>
    <row r="72" spans="1:16" x14ac:dyDescent="0.25">
      <c r="A72" s="40">
        <v>67</v>
      </c>
      <c r="B72" s="41"/>
      <c r="D72" s="39" t="s">
        <v>181</v>
      </c>
      <c r="E72" s="36"/>
      <c r="F72" s="38"/>
      <c r="G72" s="36"/>
      <c r="H72" s="36"/>
      <c r="J72" s="41"/>
      <c r="K72" s="41"/>
      <c r="L72" s="41"/>
      <c r="M72" s="41"/>
      <c r="N72" s="41"/>
      <c r="O72" s="36"/>
      <c r="P72" s="33"/>
    </row>
    <row r="73" spans="1:16" x14ac:dyDescent="0.25">
      <c r="A73" s="40">
        <v>68</v>
      </c>
      <c r="B73" s="41"/>
      <c r="D73" s="39" t="s">
        <v>181</v>
      </c>
      <c r="E73" s="36"/>
      <c r="F73" s="38"/>
      <c r="G73" s="36"/>
      <c r="H73" s="36"/>
      <c r="J73" s="41"/>
      <c r="K73" s="41"/>
      <c r="L73" s="41"/>
      <c r="M73" s="41"/>
      <c r="N73" s="41"/>
      <c r="O73" s="36"/>
      <c r="P73" s="33"/>
    </row>
    <row r="74" spans="1:16" x14ac:dyDescent="0.25">
      <c r="A74" s="40">
        <v>69</v>
      </c>
      <c r="B74" s="41"/>
      <c r="D74" s="39" t="s">
        <v>181</v>
      </c>
      <c r="E74" s="36"/>
      <c r="F74" s="38"/>
      <c r="G74" s="36"/>
      <c r="H74" s="36"/>
      <c r="J74" s="41"/>
      <c r="K74" s="41"/>
      <c r="L74" s="41"/>
      <c r="M74" s="41"/>
      <c r="N74" s="41"/>
      <c r="O74" s="36"/>
      <c r="P74" s="33"/>
    </row>
    <row r="75" spans="1:16" x14ac:dyDescent="0.25">
      <c r="A75" s="40">
        <v>70</v>
      </c>
      <c r="B75" s="41"/>
      <c r="D75" s="39" t="s">
        <v>181</v>
      </c>
      <c r="E75" s="36"/>
      <c r="F75" s="38"/>
      <c r="G75" s="36"/>
      <c r="H75" s="36"/>
      <c r="J75" s="41"/>
      <c r="K75" s="41"/>
      <c r="L75" s="41"/>
      <c r="M75" s="41"/>
      <c r="N75" s="41"/>
      <c r="O75" s="36"/>
      <c r="P75" s="33"/>
    </row>
    <row r="76" spans="1:16" x14ac:dyDescent="0.25">
      <c r="A76" s="40">
        <v>71</v>
      </c>
      <c r="B76" s="41"/>
      <c r="D76" s="39" t="s">
        <v>181</v>
      </c>
      <c r="E76" s="36"/>
      <c r="F76" s="38"/>
      <c r="G76" s="36"/>
      <c r="H76" s="36"/>
      <c r="J76" s="41"/>
      <c r="K76" s="41"/>
      <c r="L76" s="41"/>
      <c r="M76" s="41"/>
      <c r="N76" s="41"/>
      <c r="O76" s="36"/>
      <c r="P76" s="33"/>
    </row>
    <row r="77" spans="1:16" x14ac:dyDescent="0.25">
      <c r="A77" s="40">
        <v>72</v>
      </c>
      <c r="B77" s="41"/>
      <c r="D77" s="39" t="s">
        <v>181</v>
      </c>
      <c r="E77" s="36"/>
      <c r="F77" s="38"/>
      <c r="G77" s="36"/>
      <c r="H77" s="36"/>
      <c r="J77" s="41"/>
      <c r="K77" s="41"/>
      <c r="L77" s="41"/>
      <c r="M77" s="41"/>
      <c r="N77" s="41"/>
      <c r="O77" s="36"/>
      <c r="P77" s="33"/>
    </row>
    <row r="78" spans="1:16" x14ac:dyDescent="0.25">
      <c r="A78" s="40">
        <v>73</v>
      </c>
      <c r="B78" s="41"/>
      <c r="D78" s="39" t="s">
        <v>181</v>
      </c>
      <c r="E78" s="36"/>
      <c r="F78" s="38"/>
      <c r="G78" s="36"/>
      <c r="H78" s="36"/>
      <c r="J78" s="41"/>
      <c r="K78" s="41"/>
      <c r="L78" s="41"/>
      <c r="M78" s="41"/>
      <c r="N78" s="41"/>
      <c r="O78" s="36"/>
      <c r="P78" s="33"/>
    </row>
    <row r="79" spans="1:16" x14ac:dyDescent="0.25">
      <c r="A79" s="40">
        <v>74</v>
      </c>
      <c r="B79" s="41"/>
      <c r="D79" s="39" t="s">
        <v>181</v>
      </c>
      <c r="E79" s="36"/>
      <c r="F79" s="38"/>
      <c r="G79" s="36"/>
      <c r="H79" s="36"/>
      <c r="J79" s="41"/>
      <c r="K79" s="41"/>
      <c r="L79" s="41"/>
      <c r="M79" s="41"/>
      <c r="N79" s="41"/>
      <c r="O79" s="36"/>
      <c r="P79" s="33"/>
    </row>
    <row r="80" spans="1:16" x14ac:dyDescent="0.25">
      <c r="A80" s="40">
        <v>75</v>
      </c>
      <c r="B80" s="41"/>
      <c r="D80" s="39" t="s">
        <v>181</v>
      </c>
      <c r="E80" s="36"/>
      <c r="F80" s="38"/>
      <c r="G80" s="36"/>
      <c r="H80" s="36"/>
      <c r="J80" s="41"/>
      <c r="K80" s="41"/>
      <c r="L80" s="41"/>
      <c r="M80" s="41"/>
      <c r="N80" s="41"/>
      <c r="O80" s="36"/>
      <c r="P80" s="33"/>
    </row>
    <row r="81" spans="1:16" x14ac:dyDescent="0.25">
      <c r="A81" s="40">
        <v>76</v>
      </c>
      <c r="B81" s="41"/>
      <c r="D81" s="39" t="s">
        <v>181</v>
      </c>
      <c r="E81" s="36"/>
      <c r="F81" s="38"/>
      <c r="G81" s="36"/>
      <c r="H81" s="36"/>
      <c r="J81" s="41"/>
      <c r="K81" s="41"/>
      <c r="L81" s="41"/>
      <c r="M81" s="41"/>
      <c r="N81" s="41"/>
      <c r="O81" s="36"/>
      <c r="P81" s="33"/>
    </row>
    <row r="82" spans="1:16" x14ac:dyDescent="0.25">
      <c r="A82" s="40">
        <v>77</v>
      </c>
      <c r="B82" s="41"/>
      <c r="D82" s="39" t="s">
        <v>181</v>
      </c>
      <c r="E82" s="36"/>
      <c r="F82" s="38"/>
      <c r="G82" s="36"/>
      <c r="H82" s="36"/>
      <c r="J82" s="41"/>
      <c r="K82" s="41"/>
      <c r="L82" s="41"/>
      <c r="M82" s="41"/>
      <c r="N82" s="41"/>
      <c r="O82" s="36"/>
      <c r="P82" s="33"/>
    </row>
    <row r="83" spans="1:16" x14ac:dyDescent="0.25">
      <c r="A83" s="40">
        <v>78</v>
      </c>
      <c r="B83" s="41"/>
      <c r="D83" s="39" t="s">
        <v>181</v>
      </c>
      <c r="E83" s="36"/>
      <c r="F83" s="38"/>
      <c r="G83" s="36"/>
      <c r="H83" s="36"/>
      <c r="J83" s="41"/>
      <c r="K83" s="41"/>
      <c r="L83" s="41"/>
      <c r="M83" s="41"/>
      <c r="N83" s="41"/>
      <c r="O83" s="36"/>
      <c r="P83" s="33"/>
    </row>
    <row r="84" spans="1:16" x14ac:dyDescent="0.25">
      <c r="A84" s="40">
        <v>79</v>
      </c>
      <c r="B84" s="41"/>
      <c r="D84" s="39" t="s">
        <v>181</v>
      </c>
      <c r="E84" s="36"/>
      <c r="F84" s="38"/>
      <c r="G84" s="36"/>
      <c r="H84" s="36"/>
      <c r="J84" s="41"/>
      <c r="K84" s="41"/>
      <c r="L84" s="41"/>
      <c r="M84" s="41"/>
      <c r="N84" s="41"/>
      <c r="O84" s="36"/>
      <c r="P84" s="33"/>
    </row>
    <row r="85" spans="1:16" x14ac:dyDescent="0.25">
      <c r="A85" s="40">
        <v>80</v>
      </c>
      <c r="B85" s="41"/>
      <c r="D85" s="39" t="s">
        <v>181</v>
      </c>
      <c r="E85" s="36"/>
      <c r="F85" s="38"/>
      <c r="G85" s="36"/>
      <c r="H85" s="36"/>
      <c r="J85" s="41"/>
      <c r="K85" s="41"/>
      <c r="L85" s="41"/>
      <c r="M85" s="41"/>
      <c r="N85" s="41"/>
      <c r="O85" s="36"/>
      <c r="P85" s="33"/>
    </row>
    <row r="86" spans="1:16" x14ac:dyDescent="0.25">
      <c r="A86" s="40">
        <v>81</v>
      </c>
      <c r="B86" s="41"/>
      <c r="D86" s="39" t="s">
        <v>181</v>
      </c>
      <c r="E86" s="36"/>
      <c r="F86" s="38"/>
      <c r="G86" s="36"/>
      <c r="H86" s="36"/>
      <c r="J86" s="41"/>
      <c r="K86" s="41"/>
      <c r="L86" s="41"/>
      <c r="M86" s="41"/>
      <c r="N86" s="41"/>
      <c r="O86" s="36"/>
      <c r="P86" s="33"/>
    </row>
    <row r="87" spans="1:16" x14ac:dyDescent="0.25">
      <c r="A87" s="40">
        <v>82</v>
      </c>
      <c r="B87" s="41"/>
      <c r="D87" s="39" t="s">
        <v>181</v>
      </c>
      <c r="E87" s="36"/>
      <c r="F87" s="38"/>
      <c r="G87" s="36"/>
      <c r="H87" s="36"/>
      <c r="J87" s="41"/>
      <c r="K87" s="41"/>
      <c r="L87" s="41"/>
      <c r="M87" s="41"/>
      <c r="N87" s="41"/>
      <c r="O87" s="36"/>
      <c r="P87" s="33"/>
    </row>
    <row r="88" spans="1:16" x14ac:dyDescent="0.25">
      <c r="A88" s="40">
        <v>83</v>
      </c>
      <c r="B88" s="41"/>
      <c r="D88" s="39" t="s">
        <v>181</v>
      </c>
      <c r="E88" s="36"/>
      <c r="F88" s="38"/>
      <c r="G88" s="36"/>
      <c r="H88" s="36"/>
      <c r="J88" s="41"/>
      <c r="K88" s="41"/>
      <c r="L88" s="41"/>
      <c r="M88" s="41"/>
      <c r="N88" s="41"/>
      <c r="O88" s="36"/>
      <c r="P88" s="33"/>
    </row>
    <row r="89" spans="1:16" x14ac:dyDescent="0.25">
      <c r="A89" s="40">
        <v>84</v>
      </c>
      <c r="B89" s="41"/>
      <c r="D89" s="39" t="s">
        <v>181</v>
      </c>
      <c r="E89" s="36"/>
      <c r="F89" s="38"/>
      <c r="G89" s="36"/>
      <c r="H89" s="36"/>
      <c r="J89" s="41"/>
      <c r="K89" s="41"/>
      <c r="L89" s="41"/>
      <c r="M89" s="41"/>
      <c r="N89" s="41"/>
      <c r="O89" s="36"/>
      <c r="P89" s="33"/>
    </row>
    <row r="90" spans="1:16" x14ac:dyDescent="0.25">
      <c r="A90" s="40">
        <v>85</v>
      </c>
      <c r="B90" s="41"/>
      <c r="D90" s="39" t="s">
        <v>181</v>
      </c>
      <c r="E90" s="36"/>
      <c r="F90" s="38"/>
      <c r="G90" s="36"/>
      <c r="H90" s="36"/>
      <c r="J90" s="41"/>
      <c r="K90" s="41"/>
      <c r="L90" s="41"/>
      <c r="M90" s="41"/>
      <c r="N90" s="41"/>
      <c r="O90" s="36"/>
      <c r="P90" s="33"/>
    </row>
    <row r="91" spans="1:16" x14ac:dyDescent="0.25">
      <c r="A91" s="40">
        <v>86</v>
      </c>
      <c r="B91" s="41"/>
      <c r="D91" s="39" t="s">
        <v>181</v>
      </c>
      <c r="E91" s="36"/>
      <c r="F91" s="38"/>
      <c r="G91" s="36"/>
      <c r="H91" s="36"/>
      <c r="J91" s="41"/>
      <c r="K91" s="41"/>
      <c r="L91" s="41"/>
      <c r="M91" s="41"/>
      <c r="N91" s="41"/>
      <c r="O91" s="36"/>
      <c r="P91" s="33"/>
    </row>
    <row r="92" spans="1:16" x14ac:dyDescent="0.25">
      <c r="A92" s="40">
        <v>87</v>
      </c>
      <c r="B92" s="41"/>
      <c r="D92" s="39" t="s">
        <v>181</v>
      </c>
      <c r="E92" s="36"/>
      <c r="F92" s="38"/>
      <c r="G92" s="36"/>
      <c r="H92" s="36"/>
      <c r="J92" s="41"/>
      <c r="K92" s="41"/>
      <c r="L92" s="41"/>
      <c r="M92" s="41"/>
      <c r="N92" s="41"/>
      <c r="O92" s="36"/>
      <c r="P92" s="33"/>
    </row>
    <row r="93" spans="1:16" x14ac:dyDescent="0.25">
      <c r="A93" s="40">
        <v>88</v>
      </c>
      <c r="B93" s="41"/>
      <c r="D93" s="39" t="s">
        <v>181</v>
      </c>
      <c r="E93" s="36"/>
      <c r="F93" s="38"/>
      <c r="G93" s="36"/>
      <c r="H93" s="36"/>
      <c r="J93" s="41"/>
      <c r="K93" s="41"/>
      <c r="L93" s="41"/>
      <c r="M93" s="41"/>
      <c r="N93" s="41"/>
      <c r="O93" s="36"/>
      <c r="P93" s="33"/>
    </row>
    <row r="94" spans="1:16" x14ac:dyDescent="0.25">
      <c r="A94" s="40">
        <v>89</v>
      </c>
      <c r="B94" s="41"/>
      <c r="D94" s="39" t="s">
        <v>181</v>
      </c>
      <c r="E94" s="36"/>
      <c r="F94" s="38"/>
      <c r="G94" s="36"/>
      <c r="H94" s="36"/>
      <c r="J94" s="41"/>
      <c r="K94" s="41"/>
      <c r="L94" s="41"/>
      <c r="M94" s="41"/>
      <c r="N94" s="41"/>
      <c r="O94" s="36"/>
      <c r="P94" s="33"/>
    </row>
    <row r="95" spans="1:16" x14ac:dyDescent="0.25">
      <c r="A95" s="40">
        <v>90</v>
      </c>
      <c r="B95" s="41"/>
      <c r="D95" s="39" t="s">
        <v>181</v>
      </c>
      <c r="E95" s="36"/>
      <c r="F95" s="38"/>
      <c r="G95" s="36"/>
      <c r="H95" s="36"/>
      <c r="J95" s="41"/>
      <c r="K95" s="41"/>
      <c r="L95" s="41"/>
      <c r="M95" s="41"/>
      <c r="N95" s="41"/>
      <c r="O95" s="36"/>
      <c r="P95" s="33"/>
    </row>
    <row r="96" spans="1:16" x14ac:dyDescent="0.25">
      <c r="A96" s="40">
        <v>91</v>
      </c>
      <c r="B96" s="41"/>
      <c r="D96" s="39" t="s">
        <v>181</v>
      </c>
      <c r="E96" s="36"/>
      <c r="F96" s="38"/>
      <c r="G96" s="36"/>
      <c r="H96" s="36"/>
      <c r="J96" s="41"/>
      <c r="K96" s="41"/>
      <c r="L96" s="41"/>
      <c r="M96" s="41"/>
      <c r="N96" s="41"/>
      <c r="O96" s="36"/>
      <c r="P96" s="33"/>
    </row>
    <row r="97" spans="1:16" x14ac:dyDescent="0.25">
      <c r="A97" s="40">
        <v>92</v>
      </c>
      <c r="B97" s="41"/>
      <c r="D97" s="39" t="s">
        <v>181</v>
      </c>
      <c r="E97" s="36"/>
      <c r="F97" s="38"/>
      <c r="G97" s="36"/>
      <c r="H97" s="36"/>
      <c r="J97" s="41"/>
      <c r="K97" s="41"/>
      <c r="L97" s="41"/>
      <c r="M97" s="41"/>
      <c r="N97" s="41"/>
      <c r="O97" s="36"/>
      <c r="P97" s="33"/>
    </row>
    <row r="98" spans="1:16" x14ac:dyDescent="0.25">
      <c r="A98" s="40">
        <v>93</v>
      </c>
      <c r="B98" s="41"/>
      <c r="D98" s="39" t="s">
        <v>181</v>
      </c>
      <c r="E98" s="36"/>
      <c r="F98" s="38"/>
      <c r="G98" s="36"/>
      <c r="H98" s="36"/>
      <c r="J98" s="41"/>
      <c r="K98" s="41"/>
      <c r="L98" s="41"/>
      <c r="M98" s="41"/>
      <c r="N98" s="41"/>
      <c r="O98" s="36"/>
      <c r="P98" s="33"/>
    </row>
    <row r="99" spans="1:16" x14ac:dyDescent="0.25">
      <c r="A99" s="40">
        <v>94</v>
      </c>
      <c r="B99" s="41"/>
      <c r="D99" s="39" t="s">
        <v>181</v>
      </c>
      <c r="E99" s="36"/>
      <c r="F99" s="38"/>
      <c r="G99" s="36"/>
      <c r="H99" s="36"/>
      <c r="J99" s="41"/>
      <c r="K99" s="41"/>
      <c r="L99" s="41"/>
      <c r="M99" s="41"/>
      <c r="N99" s="41"/>
      <c r="O99" s="36"/>
      <c r="P99" s="33"/>
    </row>
    <row r="100" spans="1:16" x14ac:dyDescent="0.25">
      <c r="A100" s="40">
        <v>95</v>
      </c>
      <c r="B100" s="41"/>
      <c r="D100" s="39" t="s">
        <v>181</v>
      </c>
      <c r="E100" s="36"/>
      <c r="F100" s="38"/>
      <c r="G100" s="36"/>
      <c r="H100" s="36"/>
      <c r="J100" s="41"/>
      <c r="K100" s="41"/>
      <c r="L100" s="41"/>
      <c r="M100" s="41"/>
      <c r="N100" s="41"/>
      <c r="O100" s="36"/>
      <c r="P100" s="33"/>
    </row>
    <row r="101" spans="1:16" x14ac:dyDescent="0.25">
      <c r="A101" s="40">
        <v>96</v>
      </c>
      <c r="B101" s="41"/>
      <c r="D101" s="39" t="s">
        <v>181</v>
      </c>
      <c r="E101" s="36"/>
      <c r="F101" s="38"/>
      <c r="G101" s="36"/>
      <c r="H101" s="36"/>
      <c r="J101" s="41"/>
      <c r="K101" s="41"/>
      <c r="L101" s="41"/>
      <c r="M101" s="41"/>
      <c r="N101" s="41"/>
      <c r="O101" s="36"/>
      <c r="P101" s="33"/>
    </row>
    <row r="102" spans="1:16" x14ac:dyDescent="0.25">
      <c r="A102" s="40">
        <v>97</v>
      </c>
      <c r="B102" s="41"/>
      <c r="D102" s="39" t="s">
        <v>181</v>
      </c>
      <c r="E102" s="36"/>
      <c r="F102" s="38"/>
      <c r="G102" s="36"/>
      <c r="H102" s="36"/>
      <c r="J102" s="41"/>
      <c r="K102" s="41"/>
      <c r="L102" s="41"/>
      <c r="M102" s="41"/>
      <c r="N102" s="41"/>
      <c r="O102" s="36"/>
      <c r="P102" s="33"/>
    </row>
    <row r="103" spans="1:16" x14ac:dyDescent="0.25">
      <c r="A103" s="40">
        <v>98</v>
      </c>
      <c r="B103" s="41"/>
      <c r="D103" s="39" t="s">
        <v>181</v>
      </c>
      <c r="E103" s="36"/>
      <c r="F103" s="38"/>
      <c r="G103" s="36"/>
      <c r="H103" s="36"/>
      <c r="J103" s="41"/>
      <c r="K103" s="41"/>
      <c r="L103" s="41"/>
      <c r="M103" s="41"/>
      <c r="N103" s="41"/>
      <c r="O103" s="36"/>
      <c r="P103" s="33"/>
    </row>
    <row r="104" spans="1:16" x14ac:dyDescent="0.25">
      <c r="A104" s="40">
        <v>99</v>
      </c>
      <c r="B104" s="41"/>
      <c r="D104" s="39" t="s">
        <v>181</v>
      </c>
      <c r="E104" s="36"/>
      <c r="F104" s="38"/>
      <c r="G104" s="36"/>
      <c r="H104" s="36"/>
      <c r="J104" s="41"/>
      <c r="K104" s="41"/>
      <c r="L104" s="41"/>
      <c r="M104" s="41"/>
      <c r="N104" s="41"/>
      <c r="O104" s="36"/>
      <c r="P104" s="33"/>
    </row>
    <row r="105" spans="1:16" x14ac:dyDescent="0.25">
      <c r="A105" s="40">
        <v>100</v>
      </c>
      <c r="B105" s="41"/>
      <c r="D105" s="39" t="s">
        <v>181</v>
      </c>
      <c r="E105" s="36"/>
      <c r="F105" s="38"/>
      <c r="G105" s="36"/>
      <c r="H105" s="36"/>
      <c r="J105" s="41"/>
      <c r="K105" s="41"/>
      <c r="L105" s="41"/>
      <c r="M105" s="41"/>
      <c r="N105" s="41"/>
      <c r="O105" s="36"/>
      <c r="P105" s="33"/>
    </row>
    <row r="106" spans="1:16" x14ac:dyDescent="0.25">
      <c r="A106" s="40">
        <v>101</v>
      </c>
      <c r="B106" s="41"/>
      <c r="D106" s="39" t="s">
        <v>181</v>
      </c>
      <c r="E106" s="36"/>
      <c r="F106" s="38"/>
      <c r="G106" s="36"/>
      <c r="H106" s="36"/>
      <c r="J106" s="41"/>
      <c r="K106" s="41"/>
      <c r="L106" s="41"/>
      <c r="M106" s="41"/>
      <c r="N106" s="41"/>
      <c r="O106" s="36"/>
      <c r="P106" s="33"/>
    </row>
    <row r="107" spans="1:16" x14ac:dyDescent="0.25">
      <c r="A107" s="40">
        <v>102</v>
      </c>
      <c r="B107" s="41"/>
      <c r="D107" s="39" t="s">
        <v>181</v>
      </c>
      <c r="E107" s="36"/>
      <c r="F107" s="38"/>
      <c r="G107" s="36"/>
      <c r="H107" s="36"/>
      <c r="J107" s="41"/>
      <c r="K107" s="41"/>
      <c r="L107" s="41"/>
      <c r="M107" s="41"/>
      <c r="N107" s="41"/>
      <c r="O107" s="36"/>
      <c r="P107" s="33"/>
    </row>
    <row r="108" spans="1:16" x14ac:dyDescent="0.25">
      <c r="A108" s="40">
        <v>103</v>
      </c>
      <c r="B108" s="41"/>
      <c r="D108" s="39" t="s">
        <v>181</v>
      </c>
      <c r="E108" s="36"/>
      <c r="F108" s="38"/>
      <c r="G108" s="36"/>
      <c r="H108" s="36"/>
      <c r="J108" s="41"/>
      <c r="K108" s="41"/>
      <c r="L108" s="41"/>
      <c r="M108" s="41"/>
      <c r="N108" s="41"/>
      <c r="O108" s="36"/>
      <c r="P108" s="33"/>
    </row>
    <row r="109" spans="1:16" x14ac:dyDescent="0.25">
      <c r="A109" s="40">
        <v>104</v>
      </c>
      <c r="B109" s="41"/>
      <c r="D109" s="39" t="s">
        <v>181</v>
      </c>
      <c r="E109" s="36"/>
      <c r="F109" s="38"/>
      <c r="G109" s="36"/>
      <c r="H109" s="36"/>
      <c r="J109" s="41"/>
      <c r="K109" s="41"/>
      <c r="L109" s="41"/>
      <c r="M109" s="41"/>
      <c r="N109" s="41"/>
      <c r="O109" s="36"/>
      <c r="P109" s="33"/>
    </row>
    <row r="110" spans="1:16" x14ac:dyDescent="0.25">
      <c r="A110" s="40">
        <v>105</v>
      </c>
      <c r="B110" s="41"/>
      <c r="D110" s="39" t="s">
        <v>181</v>
      </c>
      <c r="E110" s="36"/>
      <c r="F110" s="38"/>
      <c r="G110" s="36"/>
      <c r="H110" s="36"/>
      <c r="J110" s="41"/>
      <c r="K110" s="41"/>
      <c r="L110" s="41"/>
      <c r="M110" s="41"/>
      <c r="N110" s="41"/>
      <c r="O110" s="36"/>
      <c r="P110" s="33"/>
    </row>
    <row r="111" spans="1:16" x14ac:dyDescent="0.25">
      <c r="A111" s="40">
        <v>106</v>
      </c>
      <c r="B111" s="41"/>
      <c r="D111" s="39" t="s">
        <v>181</v>
      </c>
      <c r="E111" s="36"/>
      <c r="F111" s="38"/>
      <c r="G111" s="36"/>
      <c r="H111" s="36"/>
      <c r="J111" s="41"/>
      <c r="K111" s="41"/>
      <c r="L111" s="41"/>
      <c r="M111" s="41"/>
      <c r="N111" s="41"/>
      <c r="O111" s="36"/>
      <c r="P111" s="33"/>
    </row>
    <row r="112" spans="1:16" x14ac:dyDescent="0.25">
      <c r="A112" s="40">
        <v>107</v>
      </c>
      <c r="B112" s="41"/>
      <c r="D112" s="39" t="s">
        <v>181</v>
      </c>
      <c r="E112" s="36"/>
      <c r="F112" s="38"/>
      <c r="G112" s="36"/>
      <c r="H112" s="36"/>
      <c r="J112" s="41"/>
      <c r="K112" s="41"/>
      <c r="L112" s="41"/>
      <c r="M112" s="41"/>
      <c r="N112" s="41"/>
      <c r="O112" s="36"/>
      <c r="P112" s="33"/>
    </row>
    <row r="113" spans="1:16" x14ac:dyDescent="0.25">
      <c r="A113" s="40">
        <v>108</v>
      </c>
      <c r="B113" s="41"/>
      <c r="D113" s="39" t="s">
        <v>181</v>
      </c>
      <c r="E113" s="36"/>
      <c r="F113" s="38"/>
      <c r="G113" s="36"/>
      <c r="H113" s="36"/>
      <c r="J113" s="41"/>
      <c r="K113" s="41"/>
      <c r="L113" s="41"/>
      <c r="M113" s="41"/>
      <c r="N113" s="41"/>
      <c r="O113" s="36"/>
      <c r="P113" s="33"/>
    </row>
    <row r="114" spans="1:16" ht="3.75" customHeight="1" x14ac:dyDescent="0.25">
      <c r="A114" s="32"/>
      <c r="B114" s="32"/>
      <c r="C114" s="32"/>
      <c r="D114" s="32"/>
      <c r="E114" s="32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32"/>
    </row>
  </sheetData>
  <mergeCells count="2">
    <mergeCell ref="I1:N1"/>
    <mergeCell ref="D1:G1"/>
  </mergeCells>
  <conditionalFormatting sqref="H115:H1048576 O3:O14 O16:O19 O26:O27 H3:H113">
    <cfRule type="containsText" dxfId="65" priority="107" operator="containsText" text="n">
      <formula>NOT(ISERROR(SEARCH("n",H3)))</formula>
    </cfRule>
    <cfRule type="containsText" dxfId="64" priority="108" operator="containsText" text="y">
      <formula>NOT(ISERROR(SEARCH("y",H3)))</formula>
    </cfRule>
  </conditionalFormatting>
  <conditionalFormatting sqref="A2:O2">
    <cfRule type="expression" dxfId="63" priority="96">
      <formula>IF(#REF!&lt;&gt;"",TRUE,FALSE)</formula>
    </cfRule>
  </conditionalFormatting>
  <conditionalFormatting sqref="I3:I14 I16:I19 I26:I113">
    <cfRule type="cellIs" dxfId="62" priority="88" operator="equal">
      <formula>"n"</formula>
    </cfRule>
    <cfRule type="cellIs" dxfId="61" priority="95" operator="equal">
      <formula>"y"</formula>
    </cfRule>
  </conditionalFormatting>
  <conditionalFormatting sqref="L3:L14 L16:L19 L26:L113">
    <cfRule type="cellIs" dxfId="60" priority="89" operator="equal">
      <formula>"use template"</formula>
    </cfRule>
    <cfRule type="cellIs" dxfId="59" priority="90" operator="equal">
      <formula>"use blank"</formula>
    </cfRule>
  </conditionalFormatting>
  <conditionalFormatting sqref="I3:L14 I16:L19 I23:L113">
    <cfRule type="expression" dxfId="58" priority="80">
      <formula>IF($I3 = "Y",TRUE,FALSE)</formula>
    </cfRule>
  </conditionalFormatting>
  <conditionalFormatting sqref="I3:N14 I16:N19 I23:N113">
    <cfRule type="expression" dxfId="57" priority="79">
      <formula>IF(AND($I3 = "N", $J3 = "Lookup"),TRUE,FALSE)</formula>
    </cfRule>
  </conditionalFormatting>
  <conditionalFormatting sqref="O28:O113">
    <cfRule type="containsText" dxfId="56" priority="77" operator="containsText" text="n">
      <formula>NOT(ISERROR(SEARCH("n",O28)))</formula>
    </cfRule>
    <cfRule type="containsText" dxfId="55" priority="78" operator="containsText" text="y">
      <formula>NOT(ISERROR(SEARCH("y",O28)))</formula>
    </cfRule>
  </conditionalFormatting>
  <conditionalFormatting sqref="C21 E21:F21 A21:A22 A16:G19 A27:O113 I16:O19 A3:G14 I3:O14 A23:G26 I23:O26 H3:H27">
    <cfRule type="expression" dxfId="54" priority="76">
      <formula>IF($H3 = "N", TRUE, FALSE)</formula>
    </cfRule>
  </conditionalFormatting>
  <conditionalFormatting sqref="H3:H27">
    <cfRule type="containsText" dxfId="53" priority="74" operator="containsText" text="n">
      <formula>NOT(ISERROR(SEARCH("n",H3)))</formula>
    </cfRule>
    <cfRule type="containsText" dxfId="52" priority="75" operator="containsText" text="y">
      <formula>NOT(ISERROR(SEARCH("y",H3)))</formula>
    </cfRule>
  </conditionalFormatting>
  <conditionalFormatting sqref="I20">
    <cfRule type="cellIs" dxfId="51" priority="70" operator="equal">
      <formula>"n"</formula>
    </cfRule>
    <cfRule type="cellIs" dxfId="50" priority="73" operator="equal">
      <formula>"y"</formula>
    </cfRule>
  </conditionalFormatting>
  <conditionalFormatting sqref="L20">
    <cfRule type="cellIs" dxfId="49" priority="71" operator="equal">
      <formula>"use template"</formula>
    </cfRule>
    <cfRule type="cellIs" dxfId="48" priority="72" operator="equal">
      <formula>"use blank"</formula>
    </cfRule>
  </conditionalFormatting>
  <conditionalFormatting sqref="I20:L20">
    <cfRule type="expression" dxfId="47" priority="69">
      <formula>IF($I20 = "Y",TRUE,FALSE)</formula>
    </cfRule>
  </conditionalFormatting>
  <conditionalFormatting sqref="I20:N20">
    <cfRule type="expression" dxfId="46" priority="68">
      <formula>IF(AND($I20 = "N", $J20 = "Lookup"),TRUE,FALSE)</formula>
    </cfRule>
  </conditionalFormatting>
  <conditionalFormatting sqref="O20">
    <cfRule type="containsText" dxfId="45" priority="66" operator="containsText" text="n">
      <formula>NOT(ISERROR(SEARCH("n",O20)))</formula>
    </cfRule>
    <cfRule type="containsText" dxfId="44" priority="67" operator="containsText" text="y">
      <formula>NOT(ISERROR(SEARCH("y",O20)))</formula>
    </cfRule>
  </conditionalFormatting>
  <conditionalFormatting sqref="A20:G20 I20:O20">
    <cfRule type="expression" dxfId="43" priority="65">
      <formula>IF($H20 = "N", TRUE, FALSE)</formula>
    </cfRule>
  </conditionalFormatting>
  <conditionalFormatting sqref="B21">
    <cfRule type="expression" dxfId="42" priority="64">
      <formula>IF($H21 = "N", TRUE, FALSE)</formula>
    </cfRule>
  </conditionalFormatting>
  <conditionalFormatting sqref="D21">
    <cfRule type="expression" dxfId="41" priority="63">
      <formula>IF($H21 = "N", TRUE, FALSE)</formula>
    </cfRule>
  </conditionalFormatting>
  <conditionalFormatting sqref="G21">
    <cfRule type="expression" dxfId="40" priority="62">
      <formula>IF($H21 = "N", TRUE, FALSE)</formula>
    </cfRule>
  </conditionalFormatting>
  <conditionalFormatting sqref="I21">
    <cfRule type="cellIs" dxfId="39" priority="57" operator="equal">
      <formula>"n"</formula>
    </cfRule>
    <cfRule type="cellIs" dxfId="38" priority="58" operator="equal">
      <formula>"y"</formula>
    </cfRule>
  </conditionalFormatting>
  <conditionalFormatting sqref="I21">
    <cfRule type="expression" dxfId="37" priority="56">
      <formula>IF($I21 = "Y",TRUE,FALSE)</formula>
    </cfRule>
  </conditionalFormatting>
  <conditionalFormatting sqref="I21">
    <cfRule type="expression" dxfId="36" priority="55">
      <formula>IF(AND($I21 = "N", $J21 = "Lookup"),TRUE,FALSE)</formula>
    </cfRule>
  </conditionalFormatting>
  <conditionalFormatting sqref="I21">
    <cfRule type="expression" dxfId="35" priority="54">
      <formula>IF($H21 = "N", TRUE, FALSE)</formula>
    </cfRule>
  </conditionalFormatting>
  <conditionalFormatting sqref="J21">
    <cfRule type="expression" dxfId="34" priority="53">
      <formula>IF($I21 = "Y",TRUE,FALSE)</formula>
    </cfRule>
  </conditionalFormatting>
  <conditionalFormatting sqref="J21">
    <cfRule type="expression" dxfId="33" priority="52">
      <formula>IF(AND($I21 = "N", $J21 = "Lookup"),TRUE,FALSE)</formula>
    </cfRule>
  </conditionalFormatting>
  <conditionalFormatting sqref="J21">
    <cfRule type="expression" dxfId="32" priority="51">
      <formula>IF($H21 = "N", TRUE, FALSE)</formula>
    </cfRule>
  </conditionalFormatting>
  <conditionalFormatting sqref="L21">
    <cfRule type="cellIs" dxfId="31" priority="49" operator="equal">
      <formula>"use template"</formula>
    </cfRule>
    <cfRule type="cellIs" dxfId="30" priority="50" operator="equal">
      <formula>"use blank"</formula>
    </cfRule>
  </conditionalFormatting>
  <conditionalFormatting sqref="K21:L21">
    <cfRule type="expression" dxfId="29" priority="48">
      <formula>IF($I21 = "Y",TRUE,FALSE)</formula>
    </cfRule>
  </conditionalFormatting>
  <conditionalFormatting sqref="K21:N21">
    <cfRule type="expression" dxfId="28" priority="47">
      <formula>IF(AND($I21 = "N", $J21 = "Lookup"),TRUE,FALSE)</formula>
    </cfRule>
  </conditionalFormatting>
  <conditionalFormatting sqref="O21">
    <cfRule type="containsText" dxfId="27" priority="45" operator="containsText" text="n">
      <formula>NOT(ISERROR(SEARCH("n",O21)))</formula>
    </cfRule>
    <cfRule type="containsText" dxfId="26" priority="46" operator="containsText" text="y">
      <formula>NOT(ISERROR(SEARCH("y",O21)))</formula>
    </cfRule>
  </conditionalFormatting>
  <conditionalFormatting sqref="K21:O21">
    <cfRule type="expression" dxfId="25" priority="44">
      <formula>IF($H21 = "N", TRUE, FALSE)</formula>
    </cfRule>
  </conditionalFormatting>
  <conditionalFormatting sqref="C22 E22:F22">
    <cfRule type="expression" dxfId="24" priority="43">
      <formula>IF($H22 = "N", TRUE, FALSE)</formula>
    </cfRule>
  </conditionalFormatting>
  <conditionalFormatting sqref="B22">
    <cfRule type="expression" dxfId="23" priority="42">
      <formula>IF($H22 = "N", TRUE, FALSE)</formula>
    </cfRule>
  </conditionalFormatting>
  <conditionalFormatting sqref="D22">
    <cfRule type="expression" dxfId="22" priority="41">
      <formula>IF($H22 = "N", TRUE, FALSE)</formula>
    </cfRule>
  </conditionalFormatting>
  <conditionalFormatting sqref="G22">
    <cfRule type="expression" dxfId="21" priority="40">
      <formula>IF($H22 = "N", TRUE, FALSE)</formula>
    </cfRule>
  </conditionalFormatting>
  <conditionalFormatting sqref="I22">
    <cfRule type="cellIs" dxfId="20" priority="35" operator="equal">
      <formula>"n"</formula>
    </cfRule>
    <cfRule type="cellIs" dxfId="19" priority="36" operator="equal">
      <formula>"y"</formula>
    </cfRule>
  </conditionalFormatting>
  <conditionalFormatting sqref="I22">
    <cfRule type="expression" dxfId="18" priority="34">
      <formula>IF($I22 = "Y",TRUE,FALSE)</formula>
    </cfRule>
  </conditionalFormatting>
  <conditionalFormatting sqref="I22">
    <cfRule type="expression" dxfId="17" priority="33">
      <formula>IF(AND($I22 = "N", $J22 = "Lookup"),TRUE,FALSE)</formula>
    </cfRule>
  </conditionalFormatting>
  <conditionalFormatting sqref="I22">
    <cfRule type="expression" dxfId="16" priority="32">
      <formula>IF($H22 = "N", TRUE, FALSE)</formula>
    </cfRule>
  </conditionalFormatting>
  <conditionalFormatting sqref="J22">
    <cfRule type="expression" dxfId="15" priority="31">
      <formula>IF($I22 = "Y",TRUE,FALSE)</formula>
    </cfRule>
  </conditionalFormatting>
  <conditionalFormatting sqref="J22">
    <cfRule type="expression" dxfId="14" priority="30">
      <formula>IF(AND($I22 = "N", $J22 = "Lookup"),TRUE,FALSE)</formula>
    </cfRule>
  </conditionalFormatting>
  <conditionalFormatting sqref="J22">
    <cfRule type="expression" dxfId="13" priority="29">
      <formula>IF($H22 = "N", TRUE, FALSE)</formula>
    </cfRule>
  </conditionalFormatting>
  <conditionalFormatting sqref="L22">
    <cfRule type="cellIs" dxfId="12" priority="27" operator="equal">
      <formula>"use template"</formula>
    </cfRule>
    <cfRule type="cellIs" dxfId="11" priority="28" operator="equal">
      <formula>"use blank"</formula>
    </cfRule>
  </conditionalFormatting>
  <conditionalFormatting sqref="K22:L22">
    <cfRule type="expression" dxfId="10" priority="26">
      <formula>IF($I22 = "Y",TRUE,FALSE)</formula>
    </cfRule>
  </conditionalFormatting>
  <conditionalFormatting sqref="K22:N22">
    <cfRule type="expression" dxfId="9" priority="25">
      <formula>IF(AND($I22 = "N", $J22 = "Lookup"),TRUE,FALSE)</formula>
    </cfRule>
  </conditionalFormatting>
  <conditionalFormatting sqref="O22">
    <cfRule type="containsText" dxfId="8" priority="23" operator="containsText" text="n">
      <formula>NOT(ISERROR(SEARCH("n",O22)))</formula>
    </cfRule>
    <cfRule type="containsText" dxfId="7" priority="24" operator="containsText" text="y">
      <formula>NOT(ISERROR(SEARCH("y",O22)))</formula>
    </cfRule>
  </conditionalFormatting>
  <conditionalFormatting sqref="K22:O22">
    <cfRule type="expression" dxfId="6" priority="22">
      <formula>IF($H22 = "N", TRUE, FALSE)</formula>
    </cfRule>
  </conditionalFormatting>
  <conditionalFormatting sqref="I23:I27">
    <cfRule type="cellIs" dxfId="5" priority="15" operator="equal">
      <formula>"n"</formula>
    </cfRule>
    <cfRule type="cellIs" dxfId="4" priority="16" operator="equal">
      <formula>"y"</formula>
    </cfRule>
  </conditionalFormatting>
  <conditionalFormatting sqref="L23:L27">
    <cfRule type="cellIs" dxfId="3" priority="7" operator="equal">
      <formula>"use template"</formula>
    </cfRule>
    <cfRule type="cellIs" dxfId="2" priority="8" operator="equal">
      <formula>"use blank"</formula>
    </cfRule>
  </conditionalFormatting>
  <conditionalFormatting sqref="O23:O27">
    <cfRule type="containsText" dxfId="1" priority="2" operator="containsText" text="n">
      <formula>NOT(ISERROR(SEARCH("n",O23)))</formula>
    </cfRule>
    <cfRule type="containsText" dxfId="0" priority="3" operator="containsText" text="y">
      <formula>NOT(ISERROR(SEARCH("y",O23)))</formula>
    </cfRule>
  </conditionalFormatting>
  <dataValidations count="1">
    <dataValidation type="whole" allowBlank="1" showInputMessage="1" showErrorMessage="1" sqref="M3:M14 M16:M113" xr:uid="{471E73B9-639D-43B5-80CD-DD2353428FED}">
      <formula1>0</formula1>
      <formula2>100</formula2>
    </dataValidation>
  </dataValidations>
  <hyperlinks>
    <hyperlink ref="D3" r:id="rId1" xr:uid="{1CD49706-A68E-4D7E-984D-B5D8B4A8AAA4}"/>
    <hyperlink ref="D4" r:id="rId2" xr:uid="{B3DE77FC-E8F3-4F90-820B-1AB0A4AFC72D}"/>
    <hyperlink ref="D5" r:id="rId3" xr:uid="{354FFA03-FF4F-44C9-937D-19B10A1D8BAF}"/>
    <hyperlink ref="D6" r:id="rId4" xr:uid="{DA7E4E38-427A-4B98-A1A6-B9D0664E315D}"/>
    <hyperlink ref="D7" r:id="rId5" xr:uid="{728F069A-5B48-4484-9517-79A6317A3CFE}"/>
    <hyperlink ref="D8" r:id="rId6" xr:uid="{B7FFA4A1-818D-472B-86F0-CF6A78799E5E}"/>
    <hyperlink ref="D9" r:id="rId7" xr:uid="{CC42A90A-9F97-4D29-808E-4EECDB0C77A5}"/>
    <hyperlink ref="D10" r:id="rId8" xr:uid="{2B77F465-16F4-408D-B58A-042FDA05E173}"/>
    <hyperlink ref="D11" r:id="rId9" xr:uid="{78F36FF3-403B-41D3-AC0E-0A8C9D35DE73}"/>
    <hyperlink ref="D12" r:id="rId10" xr:uid="{85E81CAB-3755-4F6D-BE07-A02E31B337DC}"/>
    <hyperlink ref="D13" r:id="rId11" xr:uid="{D5DA2694-488B-4A8E-94DD-E628DBC62496}"/>
    <hyperlink ref="D14" r:id="rId12" xr:uid="{9755FDAF-CF37-48D5-9231-F019E8980A2C}"/>
    <hyperlink ref="D26" r:id="rId13" xr:uid="{E7D78339-5075-4498-BCCC-4505247ADD37}"/>
    <hyperlink ref="D16" r:id="rId14" xr:uid="{C015230D-A810-4C93-B6C5-062193BA4231}"/>
    <hyperlink ref="D17" r:id="rId15" xr:uid="{4E47D5B8-D3F7-4E1D-BDE2-0DC47B0AA5F7}"/>
    <hyperlink ref="D18" r:id="rId16" xr:uid="{3D56C7AB-EC4F-443A-B8CF-D076322F04E1}"/>
    <hyperlink ref="D19" r:id="rId17" xr:uid="{26887A0F-79A6-4562-92AA-0F467614CFDC}"/>
    <hyperlink ref="D20" r:id="rId18" xr:uid="{C53E9AF1-4783-45FC-B739-5E5F6F435AB6}"/>
    <hyperlink ref="D21" r:id="rId19" xr:uid="{1EA33B5B-5CC9-4ADD-BF5A-C4444F2BCEB9}"/>
    <hyperlink ref="D22" r:id="rId20" xr:uid="{175F77D5-2043-44A5-A0F8-996047169F7B}"/>
    <hyperlink ref="D23" r:id="rId21" xr:uid="{968A881F-7164-4024-9435-DE4F627885EB}"/>
    <hyperlink ref="D27" r:id="rId22" xr:uid="{3CFC5C6C-1A67-4AF1-B52D-1D4FCD68B4B2}"/>
    <hyperlink ref="D24" r:id="rId23" xr:uid="{CB79B150-058F-4EF6-8060-3DB135BB6AFA}"/>
  </hyperlinks>
  <pageMargins left="0.7" right="0.7" top="0.75" bottom="0.75" header="0.3" footer="0.3"/>
  <pageSetup paperSize="9" orientation="portrait" r:id="rId24"/>
  <drawing r:id="rId25"/>
  <legacyDrawing r:id="rId2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27" name="Button 1">
              <controlPr defaultSize="0" print="0" autoFill="0" autoPict="0" macro="[0]!AA_DB_TO_EXCEL.DB_TO_EXCEL">
                <anchor moveWithCells="1" sizeWithCells="1">
                  <from>
                    <xdr:col>2</xdr:col>
                    <xdr:colOff>219075</xdr:colOff>
                    <xdr:row>0</xdr:row>
                    <xdr:rowOff>133350</xdr:rowOff>
                  </from>
                  <to>
                    <xdr:col>2</xdr:col>
                    <xdr:colOff>1885950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28" name="Button 18">
              <controlPr defaultSize="0" print="0" autoFill="0" autoPict="0" macro="[0]!Import_Outbound_Hours">
                <anchor moveWithCells="1" sizeWithCells="1">
                  <from>
                    <xdr:col>17</xdr:col>
                    <xdr:colOff>0</xdr:colOff>
                    <xdr:row>0</xdr:row>
                    <xdr:rowOff>28575</xdr:rowOff>
                  </from>
                  <to>
                    <xdr:col>19</xdr:col>
                    <xdr:colOff>323850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29" name="Button 19">
              <controlPr defaultSize="0" print="0" autoFill="0" autoPict="0" macro="[0]!Pack_Accuracy_Data_extract">
                <anchor moveWithCells="1" sizeWithCells="1">
                  <from>
                    <xdr:col>16</xdr:col>
                    <xdr:colOff>628650</xdr:colOff>
                    <xdr:row>0</xdr:row>
                    <xdr:rowOff>523875</xdr:rowOff>
                  </from>
                  <to>
                    <xdr:col>19</xdr:col>
                    <xdr:colOff>323850</xdr:colOff>
                    <xdr:row>1</xdr:row>
                    <xdr:rowOff>428625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3BB7D31-C298-4F28-A567-63779D82BCD4}">
          <x14:formula1>
            <xm:f>Selections!$A$2:$A$3</xm:f>
          </x14:formula1>
          <xm:sqref>O16:O27 O3:O14 I16:I113 I3:I14 H3:H113</xm:sqref>
        </x14:dataValidation>
        <x14:dataValidation type="list" allowBlank="1" showInputMessage="1" showErrorMessage="1" xr:uid="{025630DE-A30F-4F2C-86B0-3CD5796C454C}">
          <x14:formula1>
            <xm:f>Selections!$F$1:$F$4</xm:f>
          </x14:formula1>
          <xm:sqref>J3:J14 J16:J113</xm:sqref>
        </x14:dataValidation>
        <x14:dataValidation type="list" allowBlank="1" showInputMessage="1" showErrorMessage="1" xr:uid="{BBB92F5E-8B51-4372-88A0-BCF23AA8BC68}">
          <x14:formula1>
            <xm:f>Selections!$G$1:$G$2</xm:f>
          </x14:formula1>
          <xm:sqref>L3:L14 L16:L113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26799-3C8D-46E4-93F4-644C5E31F2F2}">
  <sheetPr codeName="Sheet6">
    <tabColor theme="1" tint="4.9989318521683403E-2"/>
  </sheetPr>
  <dimension ref="A1:H53"/>
  <sheetViews>
    <sheetView workbookViewId="0">
      <selection activeCell="D5" sqref="D5"/>
    </sheetView>
  </sheetViews>
  <sheetFormatPr defaultRowHeight="15" x14ac:dyDescent="0.25"/>
  <cols>
    <col min="1" max="1" width="2.7109375" bestFit="1" customWidth="1"/>
    <col min="2" max="2" width="18.28515625" bestFit="1" customWidth="1"/>
    <col min="3" max="3" width="40.28515625" customWidth="1"/>
    <col min="4" max="4" width="151.140625" style="14" customWidth="1"/>
    <col min="5" max="5" width="69.140625" style="14" customWidth="1"/>
    <col min="6" max="6" width="2.7109375" customWidth="1"/>
  </cols>
  <sheetData>
    <row r="1" spans="1:8" x14ac:dyDescent="0.25">
      <c r="A1" s="11" t="s">
        <v>180</v>
      </c>
      <c r="B1" s="11" t="s">
        <v>183</v>
      </c>
      <c r="C1" s="11" t="s">
        <v>176</v>
      </c>
      <c r="D1" s="15" t="s">
        <v>329</v>
      </c>
      <c r="E1" s="15" t="s">
        <v>330</v>
      </c>
      <c r="F1" s="11"/>
    </row>
    <row r="2" spans="1:8" x14ac:dyDescent="0.25">
      <c r="A2">
        <v>1</v>
      </c>
      <c r="B2" t="s">
        <v>327</v>
      </c>
      <c r="C2" t="s">
        <v>328</v>
      </c>
      <c r="D2" s="16" t="s">
        <v>581</v>
      </c>
      <c r="E2" s="16" t="s">
        <v>335</v>
      </c>
      <c r="F2" s="11" t="s">
        <v>375</v>
      </c>
    </row>
    <row r="3" spans="1:8" x14ac:dyDescent="0.25">
      <c r="A3">
        <v>2</v>
      </c>
      <c r="B3" t="s">
        <v>337</v>
      </c>
      <c r="C3" t="s">
        <v>336</v>
      </c>
      <c r="D3" s="14" t="s">
        <v>582</v>
      </c>
      <c r="E3" s="14" t="s">
        <v>510</v>
      </c>
      <c r="F3" s="11" t="s">
        <v>375</v>
      </c>
    </row>
    <row r="4" spans="1:8" x14ac:dyDescent="0.25">
      <c r="A4">
        <v>3</v>
      </c>
      <c r="B4" t="s">
        <v>337</v>
      </c>
      <c r="C4" t="s">
        <v>322</v>
      </c>
      <c r="D4" s="14" t="s">
        <v>451</v>
      </c>
      <c r="E4" s="14" t="s">
        <v>512</v>
      </c>
      <c r="F4" s="11" t="s">
        <v>375</v>
      </c>
    </row>
    <row r="5" spans="1:8" x14ac:dyDescent="0.25">
      <c r="A5">
        <v>4</v>
      </c>
      <c r="B5" t="s">
        <v>337</v>
      </c>
      <c r="C5" s="13" t="s">
        <v>323</v>
      </c>
      <c r="D5" s="14" t="s">
        <v>440</v>
      </c>
      <c r="E5" s="14" t="s">
        <v>513</v>
      </c>
      <c r="F5" s="11" t="s">
        <v>375</v>
      </c>
    </row>
    <row r="6" spans="1:8" x14ac:dyDescent="0.25">
      <c r="A6">
        <v>5</v>
      </c>
      <c r="B6" t="s">
        <v>337</v>
      </c>
      <c r="C6" s="13" t="s">
        <v>324</v>
      </c>
      <c r="D6" s="17" t="s">
        <v>514</v>
      </c>
      <c r="E6" s="14" t="s">
        <v>515</v>
      </c>
      <c r="F6" s="11" t="s">
        <v>375</v>
      </c>
    </row>
    <row r="7" spans="1:8" x14ac:dyDescent="0.25">
      <c r="A7">
        <v>6</v>
      </c>
      <c r="B7" t="s">
        <v>337</v>
      </c>
      <c r="C7" s="13" t="s">
        <v>325</v>
      </c>
      <c r="D7" s="16" t="s">
        <v>516</v>
      </c>
      <c r="E7" s="16" t="s">
        <v>335</v>
      </c>
      <c r="F7" s="11" t="s">
        <v>375</v>
      </c>
    </row>
    <row r="8" spans="1:8" x14ac:dyDescent="0.25">
      <c r="A8">
        <v>7</v>
      </c>
      <c r="B8" t="s">
        <v>337</v>
      </c>
      <c r="C8" s="13" t="s">
        <v>314</v>
      </c>
      <c r="D8" s="14" t="s">
        <v>441</v>
      </c>
      <c r="E8" s="14" t="s">
        <v>345</v>
      </c>
      <c r="F8" s="11" t="s">
        <v>375</v>
      </c>
    </row>
    <row r="9" spans="1:8" x14ac:dyDescent="0.25">
      <c r="A9">
        <v>8</v>
      </c>
      <c r="B9" t="s">
        <v>337</v>
      </c>
      <c r="C9" s="13" t="s">
        <v>315</v>
      </c>
      <c r="D9" s="16" t="s">
        <v>442</v>
      </c>
      <c r="E9" s="14" t="s">
        <v>346</v>
      </c>
      <c r="F9" s="11" t="s">
        <v>375</v>
      </c>
    </row>
    <row r="10" spans="1:8" x14ac:dyDescent="0.25">
      <c r="A10">
        <v>9</v>
      </c>
      <c r="B10" t="s">
        <v>337</v>
      </c>
      <c r="C10" s="13" t="s">
        <v>316</v>
      </c>
      <c r="D10" s="14" t="s">
        <v>443</v>
      </c>
      <c r="E10" s="16" t="s">
        <v>335</v>
      </c>
      <c r="F10" s="11" t="s">
        <v>375</v>
      </c>
    </row>
    <row r="11" spans="1:8" x14ac:dyDescent="0.25">
      <c r="A11">
        <v>10</v>
      </c>
      <c r="B11" t="s">
        <v>337</v>
      </c>
      <c r="C11" s="13" t="s">
        <v>317</v>
      </c>
      <c r="D11" s="16" t="s">
        <v>450</v>
      </c>
      <c r="E11" s="16" t="s">
        <v>335</v>
      </c>
      <c r="F11" s="11" t="s">
        <v>375</v>
      </c>
      <c r="H11" t="s">
        <v>406</v>
      </c>
    </row>
    <row r="12" spans="1:8" s="14" customFormat="1" ht="45" x14ac:dyDescent="0.25">
      <c r="A12" s="14">
        <v>11</v>
      </c>
      <c r="B12" s="14" t="s">
        <v>337</v>
      </c>
      <c r="C12" s="28" t="s">
        <v>318</v>
      </c>
      <c r="D12" s="73" t="s">
        <v>444</v>
      </c>
      <c r="E12" s="16" t="s">
        <v>335</v>
      </c>
      <c r="F12" s="15" t="s">
        <v>375</v>
      </c>
    </row>
    <row r="13" spans="1:8" x14ac:dyDescent="0.25">
      <c r="A13">
        <v>12</v>
      </c>
      <c r="B13" t="s">
        <v>337</v>
      </c>
      <c r="C13" s="13" t="s">
        <v>319</v>
      </c>
      <c r="D13" s="16" t="s">
        <v>445</v>
      </c>
      <c r="E13" s="14" t="s">
        <v>425</v>
      </c>
      <c r="F13" s="11" t="s">
        <v>375</v>
      </c>
    </row>
    <row r="14" spans="1:8" x14ac:dyDescent="0.25">
      <c r="A14">
        <v>13</v>
      </c>
      <c r="B14" t="s">
        <v>337</v>
      </c>
      <c r="C14" s="13" t="s">
        <v>320</v>
      </c>
      <c r="D14" s="16" t="s">
        <v>446</v>
      </c>
      <c r="E14" s="14" t="s">
        <v>517</v>
      </c>
      <c r="F14" s="11" t="s">
        <v>375</v>
      </c>
    </row>
    <row r="15" spans="1:8" x14ac:dyDescent="0.25">
      <c r="A15">
        <v>15</v>
      </c>
      <c r="B15" t="s">
        <v>337</v>
      </c>
      <c r="C15" s="13" t="s">
        <v>311</v>
      </c>
      <c r="D15" s="14" t="s">
        <v>447</v>
      </c>
      <c r="E15" s="14" t="s">
        <v>518</v>
      </c>
      <c r="F15" s="11" t="s">
        <v>375</v>
      </c>
    </row>
    <row r="16" spans="1:8" x14ac:dyDescent="0.25">
      <c r="A16">
        <v>16</v>
      </c>
      <c r="B16" t="s">
        <v>337</v>
      </c>
      <c r="C16" s="13" t="s">
        <v>312</v>
      </c>
      <c r="D16" s="14" t="s">
        <v>447</v>
      </c>
      <c r="E16" s="14" t="s">
        <v>518</v>
      </c>
      <c r="F16" s="11" t="s">
        <v>375</v>
      </c>
    </row>
    <row r="17" spans="1:6" x14ac:dyDescent="0.25">
      <c r="A17">
        <v>17</v>
      </c>
      <c r="B17" t="s">
        <v>327</v>
      </c>
      <c r="C17" s="18" t="s">
        <v>379</v>
      </c>
      <c r="D17" s="14" t="s">
        <v>448</v>
      </c>
      <c r="E17" s="14" t="s">
        <v>380</v>
      </c>
      <c r="F17" s="11" t="s">
        <v>375</v>
      </c>
    </row>
    <row r="18" spans="1:6" x14ac:dyDescent="0.25">
      <c r="A18">
        <v>18</v>
      </c>
      <c r="B18" t="s">
        <v>337</v>
      </c>
      <c r="C18" s="18" t="s">
        <v>381</v>
      </c>
      <c r="D18" s="16" t="s">
        <v>449</v>
      </c>
      <c r="E18" s="14" t="s">
        <v>382</v>
      </c>
      <c r="F18" s="11" t="s">
        <v>375</v>
      </c>
    </row>
    <row r="19" spans="1:6" x14ac:dyDescent="0.25">
      <c r="A19">
        <v>19</v>
      </c>
      <c r="B19" t="s">
        <v>337</v>
      </c>
      <c r="C19" s="18" t="s">
        <v>396</v>
      </c>
      <c r="D19" s="16" t="s">
        <v>519</v>
      </c>
      <c r="E19" s="16" t="s">
        <v>335</v>
      </c>
      <c r="F19" s="11" t="s">
        <v>375</v>
      </c>
    </row>
    <row r="20" spans="1:6" x14ac:dyDescent="0.25">
      <c r="A20">
        <v>20</v>
      </c>
      <c r="B20" t="s">
        <v>337</v>
      </c>
      <c r="C20" s="18" t="s">
        <v>401</v>
      </c>
      <c r="D20" s="14" t="s">
        <v>520</v>
      </c>
      <c r="E20" s="16" t="s">
        <v>335</v>
      </c>
      <c r="F20" s="11" t="s">
        <v>375</v>
      </c>
    </row>
    <row r="21" spans="1:6" x14ac:dyDescent="0.25">
      <c r="A21">
        <v>21</v>
      </c>
      <c r="B21" t="s">
        <v>402</v>
      </c>
      <c r="C21" s="18" t="s">
        <v>415</v>
      </c>
      <c r="D21" s="16" t="s">
        <v>469</v>
      </c>
      <c r="E21" s="16" t="s">
        <v>335</v>
      </c>
      <c r="F21" s="11" t="s">
        <v>375</v>
      </c>
    </row>
    <row r="22" spans="1:6" x14ac:dyDescent="0.25">
      <c r="A22">
        <v>22</v>
      </c>
      <c r="B22" t="s">
        <v>337</v>
      </c>
      <c r="C22" s="18" t="s">
        <v>417</v>
      </c>
      <c r="D22" s="14" t="s">
        <v>471</v>
      </c>
      <c r="E22" s="16" t="s">
        <v>409</v>
      </c>
      <c r="F22" s="11" t="s">
        <v>375</v>
      </c>
    </row>
    <row r="23" spans="1:6" x14ac:dyDescent="0.25">
      <c r="A23">
        <v>22</v>
      </c>
      <c r="B23" t="s">
        <v>402</v>
      </c>
      <c r="C23" s="18" t="s">
        <v>507</v>
      </c>
      <c r="D23" s="14" t="s">
        <v>511</v>
      </c>
      <c r="F23" s="11"/>
    </row>
    <row r="24" spans="1:6" x14ac:dyDescent="0.25">
      <c r="A24">
        <v>22</v>
      </c>
      <c r="B24" t="s">
        <v>424</v>
      </c>
      <c r="C24" s="18" t="s">
        <v>420</v>
      </c>
      <c r="D24" s="16" t="s">
        <v>470</v>
      </c>
      <c r="E24" s="16" t="s">
        <v>335</v>
      </c>
      <c r="F24" s="11"/>
    </row>
    <row r="25" spans="1:6" x14ac:dyDescent="0.25">
      <c r="A25">
        <v>22</v>
      </c>
      <c r="B25" t="s">
        <v>337</v>
      </c>
      <c r="C25" s="18" t="s">
        <v>455</v>
      </c>
      <c r="D25" s="14" t="s">
        <v>456</v>
      </c>
      <c r="E25" s="16" t="s">
        <v>335</v>
      </c>
      <c r="F25" s="11"/>
    </row>
    <row r="26" spans="1:6" x14ac:dyDescent="0.25">
      <c r="A26">
        <v>22</v>
      </c>
      <c r="B26" t="s">
        <v>402</v>
      </c>
      <c r="C26" s="18" t="s">
        <v>460</v>
      </c>
      <c r="D26" s="16" t="s">
        <v>521</v>
      </c>
      <c r="E26" s="16" t="s">
        <v>335</v>
      </c>
      <c r="F26" s="11"/>
    </row>
    <row r="27" spans="1:6" x14ac:dyDescent="0.25">
      <c r="A27">
        <v>22</v>
      </c>
      <c r="B27" t="s">
        <v>337</v>
      </c>
      <c r="C27" s="18" t="s">
        <v>435</v>
      </c>
      <c r="D27" s="14" t="s">
        <v>522</v>
      </c>
      <c r="E27" s="16" t="s">
        <v>335</v>
      </c>
      <c r="F27" s="11"/>
    </row>
    <row r="28" spans="1:6" x14ac:dyDescent="0.25">
      <c r="A28">
        <v>22</v>
      </c>
      <c r="B28" t="s">
        <v>337</v>
      </c>
      <c r="C28" s="18" t="s">
        <v>465</v>
      </c>
      <c r="D28" s="16" t="s">
        <v>583</v>
      </c>
      <c r="E28" s="16" t="s">
        <v>335</v>
      </c>
      <c r="F28" s="11"/>
    </row>
    <row r="29" spans="1:6" x14ac:dyDescent="0.25">
      <c r="A29">
        <v>22</v>
      </c>
      <c r="B29" t="s">
        <v>337</v>
      </c>
      <c r="C29" s="18" t="s">
        <v>474</v>
      </c>
      <c r="D29" s="16" t="s">
        <v>574</v>
      </c>
      <c r="E29" s="16" t="s">
        <v>335</v>
      </c>
      <c r="F29" s="11"/>
    </row>
    <row r="30" spans="1:6" x14ac:dyDescent="0.25">
      <c r="A30">
        <v>22</v>
      </c>
      <c r="F30" s="11"/>
    </row>
    <row r="31" spans="1:6" x14ac:dyDescent="0.25">
      <c r="A31">
        <v>22</v>
      </c>
      <c r="F31" s="11"/>
    </row>
    <row r="32" spans="1:6" x14ac:dyDescent="0.25">
      <c r="A32">
        <v>22</v>
      </c>
      <c r="F32" s="11"/>
    </row>
    <row r="33" spans="1:6" x14ac:dyDescent="0.25">
      <c r="A33">
        <v>22</v>
      </c>
      <c r="F33" s="11"/>
    </row>
    <row r="34" spans="1:6" x14ac:dyDescent="0.25">
      <c r="A34">
        <v>22</v>
      </c>
      <c r="F34" s="11"/>
    </row>
    <row r="35" spans="1:6" x14ac:dyDescent="0.25">
      <c r="A35">
        <v>22</v>
      </c>
      <c r="F35" s="11"/>
    </row>
    <row r="36" spans="1:6" x14ac:dyDescent="0.25">
      <c r="A36">
        <v>22</v>
      </c>
      <c r="F36" s="11"/>
    </row>
    <row r="37" spans="1:6" x14ac:dyDescent="0.25">
      <c r="A37">
        <v>22</v>
      </c>
      <c r="F37" s="11"/>
    </row>
    <row r="38" spans="1:6" x14ac:dyDescent="0.25">
      <c r="F38" s="11"/>
    </row>
    <row r="39" spans="1:6" x14ac:dyDescent="0.25">
      <c r="F39" s="11"/>
    </row>
    <row r="40" spans="1:6" x14ac:dyDescent="0.25">
      <c r="F40" s="11"/>
    </row>
    <row r="41" spans="1:6" x14ac:dyDescent="0.25">
      <c r="F41" s="11"/>
    </row>
    <row r="42" spans="1:6" x14ac:dyDescent="0.25">
      <c r="F42" s="11"/>
    </row>
    <row r="43" spans="1:6" x14ac:dyDescent="0.25">
      <c r="F43" s="11"/>
    </row>
    <row r="44" spans="1:6" x14ac:dyDescent="0.25">
      <c r="F44" s="11"/>
    </row>
    <row r="45" spans="1:6" x14ac:dyDescent="0.25">
      <c r="F45" s="11"/>
    </row>
    <row r="46" spans="1:6" x14ac:dyDescent="0.25">
      <c r="F46" s="11"/>
    </row>
    <row r="47" spans="1:6" x14ac:dyDescent="0.25">
      <c r="F47" s="11"/>
    </row>
    <row r="48" spans="1:6" x14ac:dyDescent="0.25">
      <c r="F48" s="11"/>
    </row>
    <row r="49" spans="6:6" x14ac:dyDescent="0.25">
      <c r="F49" s="11"/>
    </row>
    <row r="50" spans="6:6" x14ac:dyDescent="0.25">
      <c r="F50" s="11"/>
    </row>
    <row r="51" spans="6:6" x14ac:dyDescent="0.25">
      <c r="F51" s="11"/>
    </row>
    <row r="52" spans="6:6" x14ac:dyDescent="0.25">
      <c r="F52" s="11"/>
    </row>
    <row r="53" spans="6:6" x14ac:dyDescent="0.25">
      <c r="F53" s="11"/>
    </row>
  </sheetData>
  <hyperlinks>
    <hyperlink ref="E7" r:id="rId1" display="XPOLichfieldMI@gxo.com" xr:uid="{E9A8CCEC-0DFE-4038-BEC4-0EFDCAE53CB5}"/>
    <hyperlink ref="E10" r:id="rId2" display="XPOLichfieldMI@gxo.com" xr:uid="{EDF3E3AB-0B39-4F51-AD8A-1D49CD341CAA}"/>
    <hyperlink ref="E11" r:id="rId3" display="XPOLichfieldMI@gxo.com" xr:uid="{AE8972AA-0132-436A-936B-D841D8D48F74}"/>
    <hyperlink ref="E12" r:id="rId4" display="XPOLichfieldMI@gxo.com" xr:uid="{4733EEA4-E137-4EAB-89A5-4EF8EA667672}"/>
    <hyperlink ref="D11" r:id="rId5" display="Philip.Bates@gxo.com;XPOLichfieldShiftManagers@gxo.com;ben.copson@gxo.com;richard.harvey@gxo.com;nick.clayton@gxo.com" xr:uid="{5DE47545-FC9F-4E20-B168-6E65C12873C1}"/>
    <hyperlink ref="D13" r:id="rId6" xr:uid="{86E00FC5-8D38-4310-A091-B84BC1B6569F}"/>
    <hyperlink ref="D14" r:id="rId7" xr:uid="{E8554D02-4316-4928-BDB5-EF742454C6FD}"/>
    <hyperlink ref="E19" r:id="rId8" display="XPOLichfieldMI@gxo.com" xr:uid="{21498B4A-2D18-401D-9EBA-D9AA04C60238}"/>
    <hyperlink ref="E20" r:id="rId9" display="XPOLichfieldMI@gxo.com" xr:uid="{8553E015-5B45-44B3-950F-F6D762503161}"/>
    <hyperlink ref="D21" r:id="rId10" xr:uid="{5B326EF3-1A86-4E4F-BC56-EF4B20218119}"/>
    <hyperlink ref="E21" r:id="rId11" display="XPOLichfieldMI@gxo.com" xr:uid="{A76FAB8B-EDCF-4B87-890D-723D1D9102E1}"/>
    <hyperlink ref="D7" r:id="rId12" display="craig.ward@gxo.com;hannah.beavis@gxo.com;andrew.thomas002@gxo.com;Philip.Bates@gxo.com;kevin.a.jones@gxo.com;ben.copson@gxo.com;richard.harvey@gxo.com;nick.clayton@gxo.com" xr:uid="{BEECA05D-7269-4F12-9CE1-3CCF95620806}"/>
    <hyperlink ref="D9" r:id="rId13" xr:uid="{08022109-7962-484B-8DFE-6ECEF78BD839}"/>
    <hyperlink ref="D18" r:id="rId14" xr:uid="{D473F62B-635A-444D-B6D6-E886BFEC4A3C}"/>
    <hyperlink ref="D19" r:id="rId15" display="ken.perritt@gxo.com;craig.ward@gxo.com;Lamin.Jallow@gxo.com;Philip.Bates@gxo.com;hannah.beavis@gxo.com;GXOLichfieldShiftManagers@gxo.com;GXOLichfieldFLM@gxo.com;ben.copson@gxo.com;richard.harvey@gxo.com;nick.clayton@gxo.com" xr:uid="{C57B49DC-0F96-4CCD-A596-C2034EAC2019}"/>
    <hyperlink ref="E22" r:id="rId16" xr:uid="{6626C9C2-775D-4124-8074-9DC0DEB1404E}"/>
    <hyperlink ref="E2" r:id="rId17" xr:uid="{1DE6CD01-D123-4EE4-8EAF-9A460FC5BE2A}"/>
    <hyperlink ref="E24" r:id="rId18" display="XPOLichfieldMI@gxo.com" xr:uid="{C8C47261-2015-41C6-9D1A-6D6597F6B869}"/>
    <hyperlink ref="E25" r:id="rId19" display="XPOLichfieldMI@gxo.com" xr:uid="{96070D7B-4FB6-45C9-A671-8742BA90BA4B}"/>
    <hyperlink ref="D28" r:id="rId20" xr:uid="{145A2367-0404-4835-92C4-C8272EE59499}"/>
    <hyperlink ref="D29" r:id="rId21" xr:uid="{F54718D0-5232-49E6-A82F-355DB2BE77C1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A5EEA-43BC-4D6D-8A7F-63AE9D6C434A}">
  <sheetPr codeName="Sheet2"/>
  <dimension ref="A1:S1096"/>
  <sheetViews>
    <sheetView topLeftCell="F1" workbookViewId="0">
      <selection activeCell="K26" sqref="K26"/>
    </sheetView>
  </sheetViews>
  <sheetFormatPr defaultRowHeight="15" x14ac:dyDescent="0.25"/>
  <cols>
    <col min="1" max="1" width="10.7109375" style="1" bestFit="1" customWidth="1"/>
    <col min="3" max="3" width="16" customWidth="1"/>
    <col min="4" max="4" width="10.7109375" style="1" bestFit="1" customWidth="1"/>
    <col min="5" max="5" width="16.85546875" customWidth="1"/>
    <col min="6" max="7" width="15.7109375" customWidth="1"/>
    <col min="8" max="10" width="10.5703125" bestFit="1" customWidth="1"/>
    <col min="11" max="11" width="10.7109375" bestFit="1" customWidth="1"/>
    <col min="13" max="14" width="10.5703125" bestFit="1" customWidth="1"/>
    <col min="18" max="18" width="11.42578125" customWidth="1"/>
  </cols>
  <sheetData>
    <row r="1" spans="1:19" x14ac:dyDescent="0.25">
      <c r="A1" s="1" t="s">
        <v>0</v>
      </c>
      <c r="B1" t="s">
        <v>1</v>
      </c>
      <c r="C1" t="s">
        <v>6</v>
      </c>
      <c r="D1" s="1" t="s">
        <v>7</v>
      </c>
      <c r="E1" t="s">
        <v>8</v>
      </c>
      <c r="F1" t="s">
        <v>166</v>
      </c>
      <c r="G1" t="s">
        <v>167</v>
      </c>
      <c r="H1" s="3"/>
      <c r="I1" s="4" t="s">
        <v>2</v>
      </c>
      <c r="J1" s="3"/>
      <c r="K1" s="3"/>
      <c r="L1" s="4" t="s">
        <v>3</v>
      </c>
      <c r="M1" s="3"/>
      <c r="N1" s="3"/>
      <c r="O1" s="4" t="s">
        <v>4</v>
      </c>
      <c r="P1" s="3"/>
      <c r="Q1" s="5"/>
      <c r="R1" s="4" t="s">
        <v>5</v>
      </c>
      <c r="S1" s="5"/>
    </row>
    <row r="2" spans="1:19" x14ac:dyDescent="0.25">
      <c r="A2" s="1">
        <v>44197</v>
      </c>
      <c r="B2">
        <v>2021</v>
      </c>
      <c r="C2" s="1">
        <v>44192</v>
      </c>
      <c r="D2" s="1">
        <v>44193</v>
      </c>
      <c r="E2" s="2" t="s">
        <v>9</v>
      </c>
      <c r="F2" s="9">
        <v>18</v>
      </c>
      <c r="G2" s="9" t="s">
        <v>168</v>
      </c>
      <c r="H2" s="3"/>
      <c r="I2" s="7">
        <f ca="1">VLOOKUP(TODAY(),A:F,6,FALSE)</f>
        <v>8</v>
      </c>
      <c r="J2" s="3"/>
      <c r="K2" s="3"/>
      <c r="L2" s="7">
        <f ca="1">VLOOKUP(TODAY()-1,A:F,6,FALSE)</f>
        <v>7</v>
      </c>
      <c r="M2" s="3"/>
      <c r="N2" s="3"/>
      <c r="O2" s="7" t="str">
        <f ca="1">TEXT(VLOOKUP(TODAY(),A:F,6,FALSE),"00")</f>
        <v>08</v>
      </c>
      <c r="P2" s="3"/>
      <c r="Q2" s="5"/>
      <c r="R2" s="8">
        <f ca="1">VLOOKUP(TODAY()-1,A:F,6,FALSE)</f>
        <v>7</v>
      </c>
      <c r="S2" s="5"/>
    </row>
    <row r="3" spans="1:19" x14ac:dyDescent="0.25">
      <c r="A3" s="1">
        <v>44198</v>
      </c>
      <c r="B3">
        <v>2021</v>
      </c>
      <c r="C3" s="1">
        <v>44192</v>
      </c>
      <c r="D3" s="1">
        <v>44193</v>
      </c>
      <c r="E3" t="s">
        <v>9</v>
      </c>
      <c r="F3">
        <v>18</v>
      </c>
      <c r="G3" t="s">
        <v>169</v>
      </c>
      <c r="H3" s="3"/>
      <c r="I3" s="3"/>
      <c r="J3" s="3"/>
      <c r="K3" s="3"/>
      <c r="L3" s="3"/>
      <c r="M3" s="3"/>
      <c r="N3" s="3"/>
      <c r="O3" s="3"/>
      <c r="P3" s="3"/>
      <c r="Q3" s="5"/>
      <c r="R3" s="6">
        <f ca="1">VLOOKUP(TODAY()-1,A:D,4,FALSE)</f>
        <v>44844</v>
      </c>
      <c r="S3" s="5"/>
    </row>
    <row r="4" spans="1:19" x14ac:dyDescent="0.25">
      <c r="A4" s="1">
        <v>44199</v>
      </c>
      <c r="B4">
        <v>2021</v>
      </c>
      <c r="C4" s="1">
        <v>44199</v>
      </c>
      <c r="D4" s="1">
        <v>44193</v>
      </c>
      <c r="E4" t="s">
        <v>9</v>
      </c>
      <c r="F4">
        <v>18</v>
      </c>
      <c r="G4" t="s">
        <v>170</v>
      </c>
      <c r="Q4" s="5"/>
      <c r="R4" s="4" t="s">
        <v>175</v>
      </c>
      <c r="S4" s="5"/>
    </row>
    <row r="5" spans="1:19" x14ac:dyDescent="0.25">
      <c r="A5" s="1">
        <v>44200</v>
      </c>
      <c r="B5">
        <v>2021</v>
      </c>
      <c r="C5" s="1">
        <v>44199</v>
      </c>
      <c r="D5" s="1">
        <v>44200</v>
      </c>
      <c r="E5" t="s">
        <v>10</v>
      </c>
      <c r="F5">
        <v>19</v>
      </c>
      <c r="G5" t="s">
        <v>171</v>
      </c>
      <c r="Q5" s="5"/>
      <c r="R5" s="8">
        <f ca="1">YEAR(R3)</f>
        <v>2022</v>
      </c>
      <c r="S5" s="5"/>
    </row>
    <row r="6" spans="1:19" x14ac:dyDescent="0.25">
      <c r="A6" s="1">
        <v>44201</v>
      </c>
      <c r="B6">
        <v>2021</v>
      </c>
      <c r="C6" s="1">
        <v>44199</v>
      </c>
      <c r="D6" s="1">
        <v>44200</v>
      </c>
      <c r="E6" t="s">
        <v>10</v>
      </c>
      <c r="F6">
        <v>19</v>
      </c>
      <c r="G6" t="s">
        <v>172</v>
      </c>
      <c r="Q6" s="5"/>
      <c r="R6" s="6"/>
      <c r="S6" s="5"/>
    </row>
    <row r="7" spans="1:19" x14ac:dyDescent="0.25">
      <c r="A7" s="1">
        <v>44202</v>
      </c>
      <c r="B7">
        <v>2021</v>
      </c>
      <c r="C7" s="1">
        <v>44199</v>
      </c>
      <c r="D7" s="1">
        <v>44200</v>
      </c>
      <c r="E7" t="s">
        <v>10</v>
      </c>
      <c r="F7">
        <v>19</v>
      </c>
      <c r="G7" t="s">
        <v>173</v>
      </c>
    </row>
    <row r="8" spans="1:19" x14ac:dyDescent="0.25">
      <c r="A8" s="1">
        <v>44203</v>
      </c>
      <c r="B8">
        <v>2021</v>
      </c>
      <c r="C8" s="1">
        <v>44199</v>
      </c>
      <c r="D8" s="1">
        <v>44200</v>
      </c>
      <c r="E8" t="s">
        <v>10</v>
      </c>
      <c r="F8">
        <v>19</v>
      </c>
      <c r="G8" t="s">
        <v>174</v>
      </c>
    </row>
    <row r="9" spans="1:19" x14ac:dyDescent="0.25">
      <c r="A9" s="1">
        <v>44204</v>
      </c>
      <c r="B9">
        <v>2021</v>
      </c>
      <c r="C9" s="1">
        <v>44199</v>
      </c>
      <c r="D9" s="1">
        <v>44200</v>
      </c>
      <c r="E9" t="s">
        <v>10</v>
      </c>
      <c r="F9">
        <v>19</v>
      </c>
      <c r="G9" t="s">
        <v>168</v>
      </c>
    </row>
    <row r="10" spans="1:19" x14ac:dyDescent="0.25">
      <c r="A10" s="1">
        <v>44205</v>
      </c>
      <c r="B10">
        <v>2021</v>
      </c>
      <c r="C10" s="1">
        <v>44199</v>
      </c>
      <c r="D10" s="1">
        <v>44200</v>
      </c>
      <c r="E10" t="s">
        <v>10</v>
      </c>
      <c r="F10">
        <v>19</v>
      </c>
      <c r="G10" t="s">
        <v>169</v>
      </c>
      <c r="I10" t="s">
        <v>394</v>
      </c>
      <c r="J10" s="1">
        <f ca="1">TODAY()-7</f>
        <v>44844</v>
      </c>
      <c r="L10" s="19" t="s">
        <v>393</v>
      </c>
      <c r="M10" s="20">
        <f ca="1">TODAY()</f>
        <v>44851</v>
      </c>
    </row>
    <row r="11" spans="1:19" x14ac:dyDescent="0.25">
      <c r="A11" s="1">
        <v>44206</v>
      </c>
      <c r="B11">
        <v>2021</v>
      </c>
      <c r="C11" s="1">
        <v>44206</v>
      </c>
      <c r="D11" s="1">
        <v>44200</v>
      </c>
      <c r="E11" t="s">
        <v>10</v>
      </c>
      <c r="F11">
        <v>19</v>
      </c>
      <c r="G11" t="s">
        <v>170</v>
      </c>
      <c r="I11" s="21"/>
      <c r="J11" s="22" t="s">
        <v>389</v>
      </c>
      <c r="K11" s="21"/>
      <c r="L11" s="21"/>
      <c r="M11" s="22" t="s">
        <v>388</v>
      </c>
      <c r="N11" s="21"/>
    </row>
    <row r="12" spans="1:19" x14ac:dyDescent="0.25">
      <c r="A12" s="1">
        <v>44207</v>
      </c>
      <c r="B12">
        <v>2021</v>
      </c>
      <c r="C12" s="1">
        <v>44206</v>
      </c>
      <c r="D12" s="1">
        <v>44207</v>
      </c>
      <c r="E12" t="s">
        <v>11</v>
      </c>
      <c r="F12">
        <v>20</v>
      </c>
      <c r="G12" t="s">
        <v>171</v>
      </c>
      <c r="I12" s="23" t="s">
        <v>390</v>
      </c>
      <c r="J12" s="24"/>
      <c r="K12" s="25">
        <f ca="1">VLOOKUP(J10,A:F,6,FALSE)</f>
        <v>7</v>
      </c>
      <c r="L12" s="23" t="s">
        <v>390</v>
      </c>
      <c r="M12" s="24"/>
      <c r="N12" s="25">
        <f ca="1">VLOOKUP(M10,A:F,6,FALSE)</f>
        <v>8</v>
      </c>
    </row>
    <row r="13" spans="1:19" x14ac:dyDescent="0.25">
      <c r="A13" s="1">
        <v>44208</v>
      </c>
      <c r="B13">
        <v>2021</v>
      </c>
      <c r="C13" s="1">
        <v>44206</v>
      </c>
      <c r="D13" s="1">
        <v>44207</v>
      </c>
      <c r="E13" t="s">
        <v>11</v>
      </c>
      <c r="F13">
        <v>20</v>
      </c>
      <c r="G13" t="s">
        <v>172</v>
      </c>
      <c r="I13" s="23" t="s">
        <v>391</v>
      </c>
      <c r="J13" s="24"/>
      <c r="K13" s="26">
        <f ca="1">VLOOKUP(J10,A:F,4,FALSE)</f>
        <v>44844</v>
      </c>
      <c r="L13" s="23" t="s">
        <v>391</v>
      </c>
      <c r="M13" s="24"/>
      <c r="N13" s="26">
        <f ca="1">VLOOKUP(M10,A:D,4,FALSE)</f>
        <v>44851</v>
      </c>
    </row>
    <row r="14" spans="1:19" x14ac:dyDescent="0.25">
      <c r="A14" s="1">
        <v>44209</v>
      </c>
      <c r="B14">
        <v>2021</v>
      </c>
      <c r="C14" s="1">
        <v>44206</v>
      </c>
      <c r="D14" s="1">
        <v>44207</v>
      </c>
      <c r="E14" t="s">
        <v>11</v>
      </c>
      <c r="F14">
        <v>20</v>
      </c>
      <c r="G14" t="s">
        <v>173</v>
      </c>
      <c r="I14" s="24" t="s">
        <v>392</v>
      </c>
      <c r="J14" s="27"/>
      <c r="K14" s="26">
        <f ca="1">VLOOKUP(J10,A:F,4,FALSE)+6</f>
        <v>44850</v>
      </c>
      <c r="L14" s="24" t="s">
        <v>392</v>
      </c>
      <c r="M14" s="27"/>
      <c r="N14" s="26">
        <f ca="1">VLOOKUP(M10,A:D,4,FALSE)+6</f>
        <v>44857</v>
      </c>
    </row>
    <row r="15" spans="1:19" x14ac:dyDescent="0.25">
      <c r="A15" s="1">
        <v>44210</v>
      </c>
      <c r="B15">
        <v>2021</v>
      </c>
      <c r="C15" s="1">
        <v>44206</v>
      </c>
      <c r="D15" s="1">
        <v>44207</v>
      </c>
      <c r="E15" t="s">
        <v>11</v>
      </c>
      <c r="F15">
        <v>20</v>
      </c>
      <c r="G15" t="s">
        <v>174</v>
      </c>
    </row>
    <row r="16" spans="1:19" x14ac:dyDescent="0.25">
      <c r="A16" s="1">
        <v>44211</v>
      </c>
      <c r="B16">
        <v>2021</v>
      </c>
      <c r="C16" s="1">
        <v>44206</v>
      </c>
      <c r="D16" s="1">
        <v>44207</v>
      </c>
      <c r="E16" t="s">
        <v>11</v>
      </c>
      <c r="F16">
        <v>20</v>
      </c>
      <c r="G16" t="s">
        <v>168</v>
      </c>
    </row>
    <row r="17" spans="1:7" x14ac:dyDescent="0.25">
      <c r="A17" s="1">
        <v>44212</v>
      </c>
      <c r="B17">
        <v>2021</v>
      </c>
      <c r="C17" s="1">
        <v>44206</v>
      </c>
      <c r="D17" s="1">
        <v>44207</v>
      </c>
      <c r="E17" t="s">
        <v>11</v>
      </c>
      <c r="F17">
        <v>20</v>
      </c>
      <c r="G17" t="s">
        <v>169</v>
      </c>
    </row>
    <row r="18" spans="1:7" x14ac:dyDescent="0.25">
      <c r="A18" s="1">
        <v>44213</v>
      </c>
      <c r="B18">
        <v>2021</v>
      </c>
      <c r="C18" s="1">
        <v>44213</v>
      </c>
      <c r="D18" s="1">
        <v>44207</v>
      </c>
      <c r="E18" t="s">
        <v>11</v>
      </c>
      <c r="F18">
        <v>20</v>
      </c>
      <c r="G18" t="s">
        <v>170</v>
      </c>
    </row>
    <row r="19" spans="1:7" x14ac:dyDescent="0.25">
      <c r="A19" s="1">
        <v>44214</v>
      </c>
      <c r="B19">
        <v>2021</v>
      </c>
      <c r="C19" s="1">
        <v>44213</v>
      </c>
      <c r="D19" s="1">
        <v>44214</v>
      </c>
      <c r="E19" t="s">
        <v>12</v>
      </c>
      <c r="F19">
        <v>21</v>
      </c>
      <c r="G19" t="s">
        <v>171</v>
      </c>
    </row>
    <row r="20" spans="1:7" x14ac:dyDescent="0.25">
      <c r="A20" s="1">
        <v>44215</v>
      </c>
      <c r="B20">
        <v>2021</v>
      </c>
      <c r="C20" s="1">
        <v>44213</v>
      </c>
      <c r="D20" s="1">
        <v>44214</v>
      </c>
      <c r="E20" t="s">
        <v>12</v>
      </c>
      <c r="F20">
        <v>21</v>
      </c>
      <c r="G20" t="s">
        <v>172</v>
      </c>
    </row>
    <row r="21" spans="1:7" x14ac:dyDescent="0.25">
      <c r="A21" s="1">
        <v>44216</v>
      </c>
      <c r="B21">
        <v>2021</v>
      </c>
      <c r="C21" s="1">
        <v>44213</v>
      </c>
      <c r="D21" s="1">
        <v>44214</v>
      </c>
      <c r="E21" t="s">
        <v>12</v>
      </c>
      <c r="F21">
        <v>21</v>
      </c>
      <c r="G21" t="s">
        <v>173</v>
      </c>
    </row>
    <row r="22" spans="1:7" x14ac:dyDescent="0.25">
      <c r="A22" s="1">
        <v>44217</v>
      </c>
      <c r="B22">
        <v>2021</v>
      </c>
      <c r="C22" s="1">
        <v>44213</v>
      </c>
      <c r="D22" s="1">
        <v>44214</v>
      </c>
      <c r="E22" t="s">
        <v>12</v>
      </c>
      <c r="F22">
        <v>21</v>
      </c>
      <c r="G22" t="s">
        <v>174</v>
      </c>
    </row>
    <row r="23" spans="1:7" x14ac:dyDescent="0.25">
      <c r="A23" s="1">
        <v>44218</v>
      </c>
      <c r="B23">
        <v>2021</v>
      </c>
      <c r="C23" s="1">
        <v>44213</v>
      </c>
      <c r="D23" s="1">
        <v>44214</v>
      </c>
      <c r="E23" t="s">
        <v>12</v>
      </c>
      <c r="F23">
        <v>21</v>
      </c>
      <c r="G23" t="s">
        <v>168</v>
      </c>
    </row>
    <row r="24" spans="1:7" x14ac:dyDescent="0.25">
      <c r="A24" s="1">
        <v>44219</v>
      </c>
      <c r="B24">
        <v>2021</v>
      </c>
      <c r="C24" s="1">
        <v>44213</v>
      </c>
      <c r="D24" s="1">
        <v>44214</v>
      </c>
      <c r="E24" t="s">
        <v>12</v>
      </c>
      <c r="F24">
        <v>21</v>
      </c>
      <c r="G24" t="s">
        <v>169</v>
      </c>
    </row>
    <row r="25" spans="1:7" x14ac:dyDescent="0.25">
      <c r="A25" s="1">
        <v>44220</v>
      </c>
      <c r="B25">
        <v>2021</v>
      </c>
      <c r="C25" s="1">
        <v>44220</v>
      </c>
      <c r="D25" s="1">
        <v>44214</v>
      </c>
      <c r="E25" t="s">
        <v>12</v>
      </c>
      <c r="F25">
        <v>21</v>
      </c>
      <c r="G25" t="s">
        <v>170</v>
      </c>
    </row>
    <row r="26" spans="1:7" x14ac:dyDescent="0.25">
      <c r="A26" s="1">
        <v>44221</v>
      </c>
      <c r="B26">
        <v>2021</v>
      </c>
      <c r="C26" s="1">
        <v>44220</v>
      </c>
      <c r="D26" s="1">
        <v>44221</v>
      </c>
      <c r="E26" t="s">
        <v>13</v>
      </c>
      <c r="F26">
        <v>22</v>
      </c>
      <c r="G26" t="s">
        <v>171</v>
      </c>
    </row>
    <row r="27" spans="1:7" x14ac:dyDescent="0.25">
      <c r="A27" s="1">
        <v>44222</v>
      </c>
      <c r="B27">
        <v>2021</v>
      </c>
      <c r="C27" s="1">
        <v>44220</v>
      </c>
      <c r="D27" s="1">
        <v>44221</v>
      </c>
      <c r="E27" t="s">
        <v>13</v>
      </c>
      <c r="F27">
        <v>22</v>
      </c>
      <c r="G27" t="s">
        <v>172</v>
      </c>
    </row>
    <row r="28" spans="1:7" x14ac:dyDescent="0.25">
      <c r="A28" s="1">
        <v>44223</v>
      </c>
      <c r="B28">
        <v>2021</v>
      </c>
      <c r="C28" s="1">
        <v>44220</v>
      </c>
      <c r="D28" s="1">
        <v>44221</v>
      </c>
      <c r="E28" t="s">
        <v>13</v>
      </c>
      <c r="F28">
        <v>22</v>
      </c>
      <c r="G28" t="s">
        <v>173</v>
      </c>
    </row>
    <row r="29" spans="1:7" x14ac:dyDescent="0.25">
      <c r="A29" s="1">
        <v>44224</v>
      </c>
      <c r="B29">
        <v>2021</v>
      </c>
      <c r="C29" s="1">
        <v>44220</v>
      </c>
      <c r="D29" s="1">
        <v>44221</v>
      </c>
      <c r="E29" t="s">
        <v>13</v>
      </c>
      <c r="F29">
        <v>22</v>
      </c>
      <c r="G29" t="s">
        <v>174</v>
      </c>
    </row>
    <row r="30" spans="1:7" x14ac:dyDescent="0.25">
      <c r="A30" s="1">
        <v>44225</v>
      </c>
      <c r="B30">
        <v>2021</v>
      </c>
      <c r="C30" s="1">
        <v>44220</v>
      </c>
      <c r="D30" s="1">
        <v>44221</v>
      </c>
      <c r="E30" t="s">
        <v>13</v>
      </c>
      <c r="F30">
        <v>22</v>
      </c>
      <c r="G30" t="s">
        <v>168</v>
      </c>
    </row>
    <row r="31" spans="1:7" x14ac:dyDescent="0.25">
      <c r="A31" s="1">
        <v>44226</v>
      </c>
      <c r="B31">
        <v>2021</v>
      </c>
      <c r="C31" s="1">
        <v>44220</v>
      </c>
      <c r="D31" s="1">
        <v>44221</v>
      </c>
      <c r="E31" t="s">
        <v>13</v>
      </c>
      <c r="F31">
        <v>22</v>
      </c>
      <c r="G31" t="s">
        <v>169</v>
      </c>
    </row>
    <row r="32" spans="1:7" x14ac:dyDescent="0.25">
      <c r="A32" s="1">
        <v>44227</v>
      </c>
      <c r="B32">
        <v>2021</v>
      </c>
      <c r="C32" s="1">
        <v>44227</v>
      </c>
      <c r="D32" s="1">
        <v>44221</v>
      </c>
      <c r="E32" t="s">
        <v>13</v>
      </c>
      <c r="F32">
        <v>22</v>
      </c>
      <c r="G32" t="s">
        <v>170</v>
      </c>
    </row>
    <row r="33" spans="1:7" x14ac:dyDescent="0.25">
      <c r="A33" s="1">
        <v>44228</v>
      </c>
      <c r="B33">
        <v>2021</v>
      </c>
      <c r="C33" s="1">
        <v>44227</v>
      </c>
      <c r="D33" s="1">
        <v>44228</v>
      </c>
      <c r="E33" t="s">
        <v>14</v>
      </c>
      <c r="F33">
        <v>23</v>
      </c>
      <c r="G33" t="s">
        <v>171</v>
      </c>
    </row>
    <row r="34" spans="1:7" x14ac:dyDescent="0.25">
      <c r="A34" s="1">
        <v>44229</v>
      </c>
      <c r="B34">
        <v>2021</v>
      </c>
      <c r="C34" s="1">
        <v>44227</v>
      </c>
      <c r="D34" s="1">
        <v>44228</v>
      </c>
      <c r="E34" t="s">
        <v>14</v>
      </c>
      <c r="F34">
        <v>23</v>
      </c>
      <c r="G34" t="s">
        <v>172</v>
      </c>
    </row>
    <row r="35" spans="1:7" x14ac:dyDescent="0.25">
      <c r="A35" s="1">
        <v>44230</v>
      </c>
      <c r="B35">
        <v>2021</v>
      </c>
      <c r="C35" s="1">
        <v>44227</v>
      </c>
      <c r="D35" s="1">
        <v>44228</v>
      </c>
      <c r="E35" t="s">
        <v>14</v>
      </c>
      <c r="F35">
        <v>23</v>
      </c>
      <c r="G35" t="s">
        <v>173</v>
      </c>
    </row>
    <row r="36" spans="1:7" x14ac:dyDescent="0.25">
      <c r="A36" s="1">
        <v>44231</v>
      </c>
      <c r="B36">
        <v>2021</v>
      </c>
      <c r="C36" s="1">
        <v>44227</v>
      </c>
      <c r="D36" s="1">
        <v>44228</v>
      </c>
      <c r="E36" t="s">
        <v>14</v>
      </c>
      <c r="F36">
        <v>23</v>
      </c>
      <c r="G36" t="s">
        <v>174</v>
      </c>
    </row>
    <row r="37" spans="1:7" x14ac:dyDescent="0.25">
      <c r="A37" s="1">
        <v>44232</v>
      </c>
      <c r="B37">
        <v>2021</v>
      </c>
      <c r="C37" s="1">
        <v>44227</v>
      </c>
      <c r="D37" s="1">
        <v>44228</v>
      </c>
      <c r="E37" t="s">
        <v>14</v>
      </c>
      <c r="F37">
        <v>23</v>
      </c>
      <c r="G37" t="s">
        <v>168</v>
      </c>
    </row>
    <row r="38" spans="1:7" x14ac:dyDescent="0.25">
      <c r="A38" s="1">
        <v>44233</v>
      </c>
      <c r="B38">
        <v>2021</v>
      </c>
      <c r="C38" s="1">
        <v>44227</v>
      </c>
      <c r="D38" s="1">
        <v>44228</v>
      </c>
      <c r="E38" t="s">
        <v>14</v>
      </c>
      <c r="F38">
        <v>23</v>
      </c>
      <c r="G38" t="s">
        <v>169</v>
      </c>
    </row>
    <row r="39" spans="1:7" x14ac:dyDescent="0.25">
      <c r="A39" s="1">
        <v>44234</v>
      </c>
      <c r="B39">
        <v>2021</v>
      </c>
      <c r="C39" s="1">
        <v>44234</v>
      </c>
      <c r="D39" s="1">
        <v>44228</v>
      </c>
      <c r="E39" t="s">
        <v>14</v>
      </c>
      <c r="F39">
        <v>23</v>
      </c>
      <c r="G39" t="s">
        <v>170</v>
      </c>
    </row>
    <row r="40" spans="1:7" x14ac:dyDescent="0.25">
      <c r="A40" s="1">
        <v>44235</v>
      </c>
      <c r="B40">
        <v>2021</v>
      </c>
      <c r="C40" s="1">
        <v>44234</v>
      </c>
      <c r="D40" s="1">
        <v>44235</v>
      </c>
      <c r="E40" t="s">
        <v>15</v>
      </c>
      <c r="F40">
        <v>24</v>
      </c>
      <c r="G40" t="s">
        <v>171</v>
      </c>
    </row>
    <row r="41" spans="1:7" x14ac:dyDescent="0.25">
      <c r="A41" s="1">
        <v>44236</v>
      </c>
      <c r="B41">
        <v>2021</v>
      </c>
      <c r="C41" s="1">
        <v>44234</v>
      </c>
      <c r="D41" s="1">
        <v>44235</v>
      </c>
      <c r="E41" t="s">
        <v>15</v>
      </c>
      <c r="F41">
        <v>24</v>
      </c>
      <c r="G41" t="s">
        <v>172</v>
      </c>
    </row>
    <row r="42" spans="1:7" x14ac:dyDescent="0.25">
      <c r="A42" s="1">
        <v>44237</v>
      </c>
      <c r="B42">
        <v>2021</v>
      </c>
      <c r="C42" s="1">
        <v>44234</v>
      </c>
      <c r="D42" s="1">
        <v>44235</v>
      </c>
      <c r="E42" t="s">
        <v>15</v>
      </c>
      <c r="F42">
        <v>24</v>
      </c>
      <c r="G42" t="s">
        <v>173</v>
      </c>
    </row>
    <row r="43" spans="1:7" x14ac:dyDescent="0.25">
      <c r="A43" s="1">
        <v>44238</v>
      </c>
      <c r="B43">
        <v>2021</v>
      </c>
      <c r="C43" s="1">
        <v>44234</v>
      </c>
      <c r="D43" s="1">
        <v>44235</v>
      </c>
      <c r="E43" t="s">
        <v>15</v>
      </c>
      <c r="F43">
        <v>24</v>
      </c>
      <c r="G43" t="s">
        <v>174</v>
      </c>
    </row>
    <row r="44" spans="1:7" x14ac:dyDescent="0.25">
      <c r="A44" s="1">
        <v>44239</v>
      </c>
      <c r="B44">
        <v>2021</v>
      </c>
      <c r="C44" s="1">
        <v>44234</v>
      </c>
      <c r="D44" s="1">
        <v>44235</v>
      </c>
      <c r="E44" t="s">
        <v>15</v>
      </c>
      <c r="F44">
        <v>24</v>
      </c>
      <c r="G44" t="s">
        <v>168</v>
      </c>
    </row>
    <row r="45" spans="1:7" x14ac:dyDescent="0.25">
      <c r="A45" s="1">
        <v>44240</v>
      </c>
      <c r="B45">
        <v>2021</v>
      </c>
      <c r="C45" s="1">
        <v>44234</v>
      </c>
      <c r="D45" s="1">
        <v>44235</v>
      </c>
      <c r="E45" t="s">
        <v>15</v>
      </c>
      <c r="F45">
        <v>24</v>
      </c>
      <c r="G45" t="s">
        <v>169</v>
      </c>
    </row>
    <row r="46" spans="1:7" x14ac:dyDescent="0.25">
      <c r="A46" s="1">
        <v>44241</v>
      </c>
      <c r="B46">
        <v>2021</v>
      </c>
      <c r="C46" s="1">
        <v>44241</v>
      </c>
      <c r="D46" s="1">
        <v>44235</v>
      </c>
      <c r="E46" t="s">
        <v>15</v>
      </c>
      <c r="F46">
        <v>24</v>
      </c>
      <c r="G46" t="s">
        <v>170</v>
      </c>
    </row>
    <row r="47" spans="1:7" x14ac:dyDescent="0.25">
      <c r="A47" s="1">
        <v>44242</v>
      </c>
      <c r="B47">
        <v>2021</v>
      </c>
      <c r="C47" s="1">
        <v>44241</v>
      </c>
      <c r="D47" s="1">
        <v>44242</v>
      </c>
      <c r="E47" t="s">
        <v>16</v>
      </c>
      <c r="F47">
        <v>25</v>
      </c>
      <c r="G47" t="s">
        <v>171</v>
      </c>
    </row>
    <row r="48" spans="1:7" x14ac:dyDescent="0.25">
      <c r="A48" s="1">
        <v>44243</v>
      </c>
      <c r="B48">
        <v>2021</v>
      </c>
      <c r="C48" s="1">
        <v>44241</v>
      </c>
      <c r="D48" s="1">
        <v>44242</v>
      </c>
      <c r="E48" t="s">
        <v>16</v>
      </c>
      <c r="F48">
        <v>25</v>
      </c>
      <c r="G48" t="s">
        <v>172</v>
      </c>
    </row>
    <row r="49" spans="1:7" x14ac:dyDescent="0.25">
      <c r="A49" s="1">
        <v>44244</v>
      </c>
      <c r="B49">
        <v>2021</v>
      </c>
      <c r="C49" s="1">
        <v>44241</v>
      </c>
      <c r="D49" s="1">
        <v>44242</v>
      </c>
      <c r="E49" t="s">
        <v>16</v>
      </c>
      <c r="F49">
        <v>25</v>
      </c>
      <c r="G49" t="s">
        <v>173</v>
      </c>
    </row>
    <row r="50" spans="1:7" x14ac:dyDescent="0.25">
      <c r="A50" s="1">
        <v>44245</v>
      </c>
      <c r="B50">
        <v>2021</v>
      </c>
      <c r="C50" s="1">
        <v>44241</v>
      </c>
      <c r="D50" s="1">
        <v>44242</v>
      </c>
      <c r="E50" t="s">
        <v>16</v>
      </c>
      <c r="F50">
        <v>25</v>
      </c>
      <c r="G50" t="s">
        <v>174</v>
      </c>
    </row>
    <row r="51" spans="1:7" x14ac:dyDescent="0.25">
      <c r="A51" s="1">
        <v>44246</v>
      </c>
      <c r="B51">
        <v>2021</v>
      </c>
      <c r="C51" s="1">
        <v>44241</v>
      </c>
      <c r="D51" s="1">
        <v>44242</v>
      </c>
      <c r="E51" t="s">
        <v>16</v>
      </c>
      <c r="F51">
        <v>25</v>
      </c>
      <c r="G51" t="s">
        <v>168</v>
      </c>
    </row>
    <row r="52" spans="1:7" x14ac:dyDescent="0.25">
      <c r="A52" s="1">
        <v>44247</v>
      </c>
      <c r="B52">
        <v>2021</v>
      </c>
      <c r="C52" s="1">
        <v>44241</v>
      </c>
      <c r="D52" s="1">
        <v>44242</v>
      </c>
      <c r="E52" t="s">
        <v>16</v>
      </c>
      <c r="F52">
        <v>25</v>
      </c>
      <c r="G52" t="s">
        <v>169</v>
      </c>
    </row>
    <row r="53" spans="1:7" x14ac:dyDescent="0.25">
      <c r="A53" s="1">
        <v>44248</v>
      </c>
      <c r="B53">
        <v>2021</v>
      </c>
      <c r="C53" s="1">
        <v>44248</v>
      </c>
      <c r="D53" s="1">
        <v>44242</v>
      </c>
      <c r="E53" t="s">
        <v>16</v>
      </c>
      <c r="F53">
        <v>25</v>
      </c>
      <c r="G53" t="s">
        <v>170</v>
      </c>
    </row>
    <row r="54" spans="1:7" x14ac:dyDescent="0.25">
      <c r="A54" s="1">
        <v>44249</v>
      </c>
      <c r="B54">
        <v>2021</v>
      </c>
      <c r="C54" s="1">
        <v>44248</v>
      </c>
      <c r="D54" s="1">
        <v>44249</v>
      </c>
      <c r="E54" t="s">
        <v>17</v>
      </c>
      <c r="F54">
        <v>26</v>
      </c>
      <c r="G54" t="s">
        <v>171</v>
      </c>
    </row>
    <row r="55" spans="1:7" x14ac:dyDescent="0.25">
      <c r="A55" s="1">
        <v>44250</v>
      </c>
      <c r="B55">
        <v>2021</v>
      </c>
      <c r="C55" s="1">
        <v>44248</v>
      </c>
      <c r="D55" s="1">
        <v>44249</v>
      </c>
      <c r="E55" t="s">
        <v>17</v>
      </c>
      <c r="F55">
        <v>26</v>
      </c>
      <c r="G55" t="s">
        <v>172</v>
      </c>
    </row>
    <row r="56" spans="1:7" x14ac:dyDescent="0.25">
      <c r="A56" s="1">
        <v>44251</v>
      </c>
      <c r="B56">
        <v>2021</v>
      </c>
      <c r="C56" s="1">
        <v>44248</v>
      </c>
      <c r="D56" s="1">
        <v>44249</v>
      </c>
      <c r="E56" t="s">
        <v>17</v>
      </c>
      <c r="F56">
        <v>26</v>
      </c>
      <c r="G56" t="s">
        <v>173</v>
      </c>
    </row>
    <row r="57" spans="1:7" x14ac:dyDescent="0.25">
      <c r="A57" s="1">
        <v>44252</v>
      </c>
      <c r="B57">
        <v>2021</v>
      </c>
      <c r="C57" s="1">
        <v>44248</v>
      </c>
      <c r="D57" s="1">
        <v>44249</v>
      </c>
      <c r="E57" t="s">
        <v>17</v>
      </c>
      <c r="F57">
        <v>26</v>
      </c>
      <c r="G57" t="s">
        <v>174</v>
      </c>
    </row>
    <row r="58" spans="1:7" x14ac:dyDescent="0.25">
      <c r="A58" s="1">
        <v>44253</v>
      </c>
      <c r="B58">
        <v>2021</v>
      </c>
      <c r="C58" s="1">
        <v>44248</v>
      </c>
      <c r="D58" s="1">
        <v>44249</v>
      </c>
      <c r="E58" t="s">
        <v>17</v>
      </c>
      <c r="F58">
        <v>26</v>
      </c>
      <c r="G58" t="s">
        <v>168</v>
      </c>
    </row>
    <row r="59" spans="1:7" x14ac:dyDescent="0.25">
      <c r="A59" s="1">
        <v>44254</v>
      </c>
      <c r="B59">
        <v>2021</v>
      </c>
      <c r="C59" s="1">
        <v>44248</v>
      </c>
      <c r="D59" s="1">
        <v>44249</v>
      </c>
      <c r="E59" t="s">
        <v>17</v>
      </c>
      <c r="F59">
        <v>26</v>
      </c>
      <c r="G59" t="s">
        <v>169</v>
      </c>
    </row>
    <row r="60" spans="1:7" x14ac:dyDescent="0.25">
      <c r="A60" s="1">
        <v>44255</v>
      </c>
      <c r="B60">
        <v>2021</v>
      </c>
      <c r="C60" s="1">
        <v>44255</v>
      </c>
      <c r="D60" s="1">
        <v>44249</v>
      </c>
      <c r="E60" t="s">
        <v>17</v>
      </c>
      <c r="F60">
        <v>26</v>
      </c>
      <c r="G60" t="s">
        <v>170</v>
      </c>
    </row>
    <row r="61" spans="1:7" x14ac:dyDescent="0.25">
      <c r="A61" s="1">
        <v>44256</v>
      </c>
      <c r="B61">
        <v>2021</v>
      </c>
      <c r="C61" s="1">
        <v>44255</v>
      </c>
      <c r="D61" s="1">
        <v>44256</v>
      </c>
      <c r="E61" t="s">
        <v>18</v>
      </c>
      <c r="F61">
        <v>27</v>
      </c>
      <c r="G61" t="s">
        <v>171</v>
      </c>
    </row>
    <row r="62" spans="1:7" x14ac:dyDescent="0.25">
      <c r="A62" s="1">
        <v>44257</v>
      </c>
      <c r="B62">
        <v>2021</v>
      </c>
      <c r="C62" s="1">
        <v>44255</v>
      </c>
      <c r="D62" s="1">
        <v>44256</v>
      </c>
      <c r="E62" t="s">
        <v>18</v>
      </c>
      <c r="F62">
        <v>27</v>
      </c>
      <c r="G62" t="s">
        <v>172</v>
      </c>
    </row>
    <row r="63" spans="1:7" x14ac:dyDescent="0.25">
      <c r="A63" s="1">
        <v>44258</v>
      </c>
      <c r="B63">
        <v>2021</v>
      </c>
      <c r="C63" s="1">
        <v>44255</v>
      </c>
      <c r="D63" s="1">
        <v>44256</v>
      </c>
      <c r="E63" t="s">
        <v>18</v>
      </c>
      <c r="F63">
        <v>27</v>
      </c>
      <c r="G63" t="s">
        <v>173</v>
      </c>
    </row>
    <row r="64" spans="1:7" x14ac:dyDescent="0.25">
      <c r="A64" s="1">
        <v>44259</v>
      </c>
      <c r="B64">
        <v>2021</v>
      </c>
      <c r="C64" s="1">
        <v>44255</v>
      </c>
      <c r="D64" s="1">
        <v>44256</v>
      </c>
      <c r="E64" t="s">
        <v>18</v>
      </c>
      <c r="F64">
        <v>27</v>
      </c>
      <c r="G64" t="s">
        <v>174</v>
      </c>
    </row>
    <row r="65" spans="1:7" x14ac:dyDescent="0.25">
      <c r="A65" s="1">
        <v>44260</v>
      </c>
      <c r="B65">
        <v>2021</v>
      </c>
      <c r="C65" s="1">
        <v>44255</v>
      </c>
      <c r="D65" s="1">
        <v>44256</v>
      </c>
      <c r="E65" t="s">
        <v>18</v>
      </c>
      <c r="F65">
        <v>27</v>
      </c>
      <c r="G65" t="s">
        <v>168</v>
      </c>
    </row>
    <row r="66" spans="1:7" x14ac:dyDescent="0.25">
      <c r="A66" s="1">
        <v>44261</v>
      </c>
      <c r="B66">
        <v>2021</v>
      </c>
      <c r="C66" s="1">
        <v>44255</v>
      </c>
      <c r="D66" s="1">
        <v>44256</v>
      </c>
      <c r="E66" t="s">
        <v>18</v>
      </c>
      <c r="F66">
        <v>27</v>
      </c>
      <c r="G66" t="s">
        <v>169</v>
      </c>
    </row>
    <row r="67" spans="1:7" x14ac:dyDescent="0.25">
      <c r="A67" s="1">
        <v>44262</v>
      </c>
      <c r="B67">
        <v>2021</v>
      </c>
      <c r="C67" s="1">
        <v>44262</v>
      </c>
      <c r="D67" s="1">
        <v>44256</v>
      </c>
      <c r="E67" t="s">
        <v>18</v>
      </c>
      <c r="F67">
        <v>27</v>
      </c>
      <c r="G67" t="s">
        <v>170</v>
      </c>
    </row>
    <row r="68" spans="1:7" x14ac:dyDescent="0.25">
      <c r="A68" s="1">
        <v>44263</v>
      </c>
      <c r="B68">
        <v>2021</v>
      </c>
      <c r="C68" s="1">
        <v>44262</v>
      </c>
      <c r="D68" s="1">
        <v>44263</v>
      </c>
      <c r="E68" t="s">
        <v>19</v>
      </c>
      <c r="F68">
        <v>28</v>
      </c>
      <c r="G68" t="s">
        <v>171</v>
      </c>
    </row>
    <row r="69" spans="1:7" x14ac:dyDescent="0.25">
      <c r="A69" s="1">
        <v>44264</v>
      </c>
      <c r="B69">
        <v>2021</v>
      </c>
      <c r="C69" s="1">
        <v>44262</v>
      </c>
      <c r="D69" s="1">
        <v>44263</v>
      </c>
      <c r="E69" t="s">
        <v>19</v>
      </c>
      <c r="F69">
        <v>28</v>
      </c>
      <c r="G69" t="s">
        <v>172</v>
      </c>
    </row>
    <row r="70" spans="1:7" x14ac:dyDescent="0.25">
      <c r="A70" s="1">
        <v>44265</v>
      </c>
      <c r="B70">
        <v>2021</v>
      </c>
      <c r="C70" s="1">
        <v>44262</v>
      </c>
      <c r="D70" s="1">
        <v>44263</v>
      </c>
      <c r="E70" t="s">
        <v>19</v>
      </c>
      <c r="F70">
        <v>28</v>
      </c>
      <c r="G70" t="s">
        <v>173</v>
      </c>
    </row>
    <row r="71" spans="1:7" x14ac:dyDescent="0.25">
      <c r="A71" s="1">
        <v>44266</v>
      </c>
      <c r="B71">
        <v>2021</v>
      </c>
      <c r="C71" s="1">
        <v>44262</v>
      </c>
      <c r="D71" s="1">
        <v>44263</v>
      </c>
      <c r="E71" t="s">
        <v>19</v>
      </c>
      <c r="F71">
        <v>28</v>
      </c>
      <c r="G71" t="s">
        <v>174</v>
      </c>
    </row>
    <row r="72" spans="1:7" x14ac:dyDescent="0.25">
      <c r="A72" s="1">
        <v>44267</v>
      </c>
      <c r="B72">
        <v>2021</v>
      </c>
      <c r="C72" s="1">
        <v>44262</v>
      </c>
      <c r="D72" s="1">
        <v>44263</v>
      </c>
      <c r="E72" t="s">
        <v>19</v>
      </c>
      <c r="F72">
        <v>28</v>
      </c>
      <c r="G72" t="s">
        <v>168</v>
      </c>
    </row>
    <row r="73" spans="1:7" x14ac:dyDescent="0.25">
      <c r="A73" s="1">
        <v>44268</v>
      </c>
      <c r="B73">
        <v>2021</v>
      </c>
      <c r="C73" s="1">
        <v>44262</v>
      </c>
      <c r="D73" s="1">
        <v>44263</v>
      </c>
      <c r="E73" t="s">
        <v>19</v>
      </c>
      <c r="F73">
        <v>28</v>
      </c>
      <c r="G73" t="s">
        <v>169</v>
      </c>
    </row>
    <row r="74" spans="1:7" x14ac:dyDescent="0.25">
      <c r="A74" s="1">
        <v>44269</v>
      </c>
      <c r="B74">
        <v>2021</v>
      </c>
      <c r="C74" s="1">
        <v>44269</v>
      </c>
      <c r="D74" s="1">
        <v>44263</v>
      </c>
      <c r="E74" t="s">
        <v>19</v>
      </c>
      <c r="F74">
        <v>28</v>
      </c>
      <c r="G74" t="s">
        <v>170</v>
      </c>
    </row>
    <row r="75" spans="1:7" x14ac:dyDescent="0.25">
      <c r="A75" s="1">
        <v>44270</v>
      </c>
      <c r="B75">
        <v>2021</v>
      </c>
      <c r="C75" s="1">
        <v>44269</v>
      </c>
      <c r="D75" s="1">
        <v>44270</v>
      </c>
      <c r="E75" t="s">
        <v>20</v>
      </c>
      <c r="F75">
        <v>29</v>
      </c>
      <c r="G75" t="s">
        <v>171</v>
      </c>
    </row>
    <row r="76" spans="1:7" x14ac:dyDescent="0.25">
      <c r="A76" s="1">
        <v>44271</v>
      </c>
      <c r="B76">
        <v>2021</v>
      </c>
      <c r="C76" s="1">
        <v>44269</v>
      </c>
      <c r="D76" s="1">
        <v>44270</v>
      </c>
      <c r="E76" t="s">
        <v>20</v>
      </c>
      <c r="F76">
        <v>29</v>
      </c>
      <c r="G76" t="s">
        <v>172</v>
      </c>
    </row>
    <row r="77" spans="1:7" x14ac:dyDescent="0.25">
      <c r="A77" s="1">
        <v>44272</v>
      </c>
      <c r="B77">
        <v>2021</v>
      </c>
      <c r="C77" s="1">
        <v>44269</v>
      </c>
      <c r="D77" s="1">
        <v>44270</v>
      </c>
      <c r="E77" t="s">
        <v>20</v>
      </c>
      <c r="F77">
        <v>29</v>
      </c>
      <c r="G77" t="s">
        <v>173</v>
      </c>
    </row>
    <row r="78" spans="1:7" x14ac:dyDescent="0.25">
      <c r="A78" s="1">
        <v>44273</v>
      </c>
      <c r="B78">
        <v>2021</v>
      </c>
      <c r="C78" s="1">
        <v>44269</v>
      </c>
      <c r="D78" s="1">
        <v>44270</v>
      </c>
      <c r="E78" t="s">
        <v>20</v>
      </c>
      <c r="F78">
        <v>29</v>
      </c>
      <c r="G78" t="s">
        <v>174</v>
      </c>
    </row>
    <row r="79" spans="1:7" x14ac:dyDescent="0.25">
      <c r="A79" s="1">
        <v>44274</v>
      </c>
      <c r="B79">
        <v>2021</v>
      </c>
      <c r="C79" s="1">
        <v>44269</v>
      </c>
      <c r="D79" s="1">
        <v>44270</v>
      </c>
      <c r="E79" t="s">
        <v>20</v>
      </c>
      <c r="F79">
        <v>29</v>
      </c>
      <c r="G79" t="s">
        <v>168</v>
      </c>
    </row>
    <row r="80" spans="1:7" x14ac:dyDescent="0.25">
      <c r="A80" s="1">
        <v>44275</v>
      </c>
      <c r="B80">
        <v>2021</v>
      </c>
      <c r="C80" s="1">
        <v>44269</v>
      </c>
      <c r="D80" s="1">
        <v>44270</v>
      </c>
      <c r="E80" t="s">
        <v>20</v>
      </c>
      <c r="F80">
        <v>29</v>
      </c>
      <c r="G80" t="s">
        <v>169</v>
      </c>
    </row>
    <row r="81" spans="1:7" x14ac:dyDescent="0.25">
      <c r="A81" s="1">
        <v>44276</v>
      </c>
      <c r="B81">
        <v>2021</v>
      </c>
      <c r="C81" s="1">
        <v>44276</v>
      </c>
      <c r="D81" s="1">
        <v>44270</v>
      </c>
      <c r="E81" t="s">
        <v>20</v>
      </c>
      <c r="F81">
        <v>29</v>
      </c>
      <c r="G81" t="s">
        <v>170</v>
      </c>
    </row>
    <row r="82" spans="1:7" x14ac:dyDescent="0.25">
      <c r="A82" s="1">
        <v>44277</v>
      </c>
      <c r="B82">
        <v>2021</v>
      </c>
      <c r="C82" s="1">
        <v>44276</v>
      </c>
      <c r="D82" s="1">
        <v>44277</v>
      </c>
      <c r="E82" t="s">
        <v>21</v>
      </c>
      <c r="F82">
        <v>30</v>
      </c>
      <c r="G82" t="s">
        <v>171</v>
      </c>
    </row>
    <row r="83" spans="1:7" x14ac:dyDescent="0.25">
      <c r="A83" s="1">
        <v>44278</v>
      </c>
      <c r="B83">
        <v>2021</v>
      </c>
      <c r="C83" s="1">
        <v>44276</v>
      </c>
      <c r="D83" s="1">
        <v>44277</v>
      </c>
      <c r="E83" t="s">
        <v>21</v>
      </c>
      <c r="F83">
        <v>30</v>
      </c>
      <c r="G83" t="s">
        <v>172</v>
      </c>
    </row>
    <row r="84" spans="1:7" x14ac:dyDescent="0.25">
      <c r="A84" s="1">
        <v>44279</v>
      </c>
      <c r="B84">
        <v>2021</v>
      </c>
      <c r="C84" s="1">
        <v>44276</v>
      </c>
      <c r="D84" s="1">
        <v>44277</v>
      </c>
      <c r="E84" t="s">
        <v>21</v>
      </c>
      <c r="F84">
        <v>30</v>
      </c>
      <c r="G84" t="s">
        <v>173</v>
      </c>
    </row>
    <row r="85" spans="1:7" x14ac:dyDescent="0.25">
      <c r="A85" s="1">
        <v>44280</v>
      </c>
      <c r="B85">
        <v>2021</v>
      </c>
      <c r="C85" s="1">
        <v>44276</v>
      </c>
      <c r="D85" s="1">
        <v>44277</v>
      </c>
      <c r="E85" t="s">
        <v>21</v>
      </c>
      <c r="F85">
        <v>30</v>
      </c>
      <c r="G85" t="s">
        <v>174</v>
      </c>
    </row>
    <row r="86" spans="1:7" x14ac:dyDescent="0.25">
      <c r="A86" s="1">
        <v>44281</v>
      </c>
      <c r="B86">
        <v>2021</v>
      </c>
      <c r="C86" s="1">
        <v>44276</v>
      </c>
      <c r="D86" s="1">
        <v>44277</v>
      </c>
      <c r="E86" t="s">
        <v>21</v>
      </c>
      <c r="F86">
        <v>30</v>
      </c>
      <c r="G86" t="s">
        <v>168</v>
      </c>
    </row>
    <row r="87" spans="1:7" x14ac:dyDescent="0.25">
      <c r="A87" s="1">
        <v>44282</v>
      </c>
      <c r="B87">
        <v>2021</v>
      </c>
      <c r="C87" s="1">
        <v>44276</v>
      </c>
      <c r="D87" s="1">
        <v>44277</v>
      </c>
      <c r="E87" t="s">
        <v>21</v>
      </c>
      <c r="F87">
        <v>30</v>
      </c>
      <c r="G87" t="s">
        <v>169</v>
      </c>
    </row>
    <row r="88" spans="1:7" x14ac:dyDescent="0.25">
      <c r="A88" s="1">
        <v>44283</v>
      </c>
      <c r="B88">
        <v>2021</v>
      </c>
      <c r="C88" s="1">
        <v>44283</v>
      </c>
      <c r="D88" s="1">
        <v>44277</v>
      </c>
      <c r="E88" t="s">
        <v>21</v>
      </c>
      <c r="F88">
        <v>30</v>
      </c>
      <c r="G88" t="s">
        <v>170</v>
      </c>
    </row>
    <row r="89" spans="1:7" x14ac:dyDescent="0.25">
      <c r="A89" s="1">
        <v>44284</v>
      </c>
      <c r="B89">
        <v>2021</v>
      </c>
      <c r="C89" s="1">
        <v>44283</v>
      </c>
      <c r="D89" s="1">
        <v>44284</v>
      </c>
      <c r="E89" t="s">
        <v>22</v>
      </c>
      <c r="F89">
        <v>31</v>
      </c>
      <c r="G89" t="s">
        <v>171</v>
      </c>
    </row>
    <row r="90" spans="1:7" x14ac:dyDescent="0.25">
      <c r="A90" s="1">
        <v>44285</v>
      </c>
      <c r="B90">
        <v>2021</v>
      </c>
      <c r="C90" s="1">
        <v>44283</v>
      </c>
      <c r="D90" s="1">
        <v>44284</v>
      </c>
      <c r="E90" t="s">
        <v>22</v>
      </c>
      <c r="F90">
        <v>31</v>
      </c>
      <c r="G90" t="s">
        <v>172</v>
      </c>
    </row>
    <row r="91" spans="1:7" x14ac:dyDescent="0.25">
      <c r="A91" s="1">
        <v>44286</v>
      </c>
      <c r="B91">
        <v>2021</v>
      </c>
      <c r="C91" s="1">
        <v>44283</v>
      </c>
      <c r="D91" s="1">
        <v>44284</v>
      </c>
      <c r="E91" t="s">
        <v>22</v>
      </c>
      <c r="F91">
        <v>31</v>
      </c>
      <c r="G91" t="s">
        <v>173</v>
      </c>
    </row>
    <row r="92" spans="1:7" x14ac:dyDescent="0.25">
      <c r="A92" s="1">
        <v>44287</v>
      </c>
      <c r="B92">
        <v>2021</v>
      </c>
      <c r="C92" s="1">
        <v>44283</v>
      </c>
      <c r="D92" s="1">
        <v>44284</v>
      </c>
      <c r="E92" t="s">
        <v>22</v>
      </c>
      <c r="F92">
        <v>31</v>
      </c>
      <c r="G92" t="s">
        <v>174</v>
      </c>
    </row>
    <row r="93" spans="1:7" x14ac:dyDescent="0.25">
      <c r="A93" s="1">
        <v>44288</v>
      </c>
      <c r="B93">
        <v>2021</v>
      </c>
      <c r="C93" s="1">
        <v>44283</v>
      </c>
      <c r="D93" s="1">
        <v>44284</v>
      </c>
      <c r="E93" t="s">
        <v>22</v>
      </c>
      <c r="F93">
        <v>31</v>
      </c>
      <c r="G93" t="s">
        <v>168</v>
      </c>
    </row>
    <row r="94" spans="1:7" x14ac:dyDescent="0.25">
      <c r="A94" s="1">
        <v>44289</v>
      </c>
      <c r="B94">
        <v>2021</v>
      </c>
      <c r="C94" s="1">
        <v>44283</v>
      </c>
      <c r="D94" s="1">
        <v>44284</v>
      </c>
      <c r="E94" t="s">
        <v>22</v>
      </c>
      <c r="F94">
        <v>31</v>
      </c>
      <c r="G94" t="s">
        <v>169</v>
      </c>
    </row>
    <row r="95" spans="1:7" x14ac:dyDescent="0.25">
      <c r="A95" s="1">
        <v>44290</v>
      </c>
      <c r="B95">
        <v>2021</v>
      </c>
      <c r="C95" s="1">
        <v>44290</v>
      </c>
      <c r="D95" s="1">
        <v>44284</v>
      </c>
      <c r="E95" t="s">
        <v>22</v>
      </c>
      <c r="F95">
        <v>31</v>
      </c>
      <c r="G95" t="s">
        <v>170</v>
      </c>
    </row>
    <row r="96" spans="1:7" x14ac:dyDescent="0.25">
      <c r="A96" s="1">
        <v>44291</v>
      </c>
      <c r="B96">
        <v>2021</v>
      </c>
      <c r="C96" s="1">
        <v>44290</v>
      </c>
      <c r="D96" s="1">
        <v>44291</v>
      </c>
      <c r="E96" t="s">
        <v>23</v>
      </c>
      <c r="F96">
        <v>32</v>
      </c>
      <c r="G96" t="s">
        <v>171</v>
      </c>
    </row>
    <row r="97" spans="1:7" x14ac:dyDescent="0.25">
      <c r="A97" s="1">
        <v>44292</v>
      </c>
      <c r="B97">
        <v>2021</v>
      </c>
      <c r="C97" s="1">
        <v>44290</v>
      </c>
      <c r="D97" s="1">
        <v>44291</v>
      </c>
      <c r="E97" t="s">
        <v>23</v>
      </c>
      <c r="F97">
        <v>32</v>
      </c>
      <c r="G97" t="s">
        <v>172</v>
      </c>
    </row>
    <row r="98" spans="1:7" x14ac:dyDescent="0.25">
      <c r="A98" s="1">
        <v>44293</v>
      </c>
      <c r="B98">
        <v>2021</v>
      </c>
      <c r="C98" s="1">
        <v>44290</v>
      </c>
      <c r="D98" s="1">
        <v>44291</v>
      </c>
      <c r="E98" t="s">
        <v>23</v>
      </c>
      <c r="F98">
        <v>32</v>
      </c>
      <c r="G98" t="s">
        <v>173</v>
      </c>
    </row>
    <row r="99" spans="1:7" x14ac:dyDescent="0.25">
      <c r="A99" s="1">
        <v>44294</v>
      </c>
      <c r="B99">
        <v>2021</v>
      </c>
      <c r="C99" s="1">
        <v>44290</v>
      </c>
      <c r="D99" s="1">
        <v>44291</v>
      </c>
      <c r="E99" t="s">
        <v>23</v>
      </c>
      <c r="F99">
        <v>32</v>
      </c>
      <c r="G99" t="s">
        <v>174</v>
      </c>
    </row>
    <row r="100" spans="1:7" x14ac:dyDescent="0.25">
      <c r="A100" s="1">
        <v>44295</v>
      </c>
      <c r="B100">
        <v>2021</v>
      </c>
      <c r="C100" s="1">
        <v>44290</v>
      </c>
      <c r="D100" s="1">
        <v>44291</v>
      </c>
      <c r="E100" t="s">
        <v>23</v>
      </c>
      <c r="F100">
        <v>32</v>
      </c>
      <c r="G100" t="s">
        <v>168</v>
      </c>
    </row>
    <row r="101" spans="1:7" x14ac:dyDescent="0.25">
      <c r="A101" s="1">
        <v>44296</v>
      </c>
      <c r="B101">
        <v>2021</v>
      </c>
      <c r="C101" s="1">
        <v>44290</v>
      </c>
      <c r="D101" s="1">
        <v>44291</v>
      </c>
      <c r="E101" t="s">
        <v>23</v>
      </c>
      <c r="F101">
        <v>32</v>
      </c>
      <c r="G101" t="s">
        <v>169</v>
      </c>
    </row>
    <row r="102" spans="1:7" x14ac:dyDescent="0.25">
      <c r="A102" s="1">
        <v>44297</v>
      </c>
      <c r="B102">
        <v>2021</v>
      </c>
      <c r="C102" s="1">
        <v>44297</v>
      </c>
      <c r="D102" s="1">
        <v>44291</v>
      </c>
      <c r="E102" t="s">
        <v>23</v>
      </c>
      <c r="F102">
        <v>32</v>
      </c>
      <c r="G102" t="s">
        <v>170</v>
      </c>
    </row>
    <row r="103" spans="1:7" x14ac:dyDescent="0.25">
      <c r="A103" s="1">
        <v>44298</v>
      </c>
      <c r="B103">
        <v>2021</v>
      </c>
      <c r="C103" s="1">
        <v>44297</v>
      </c>
      <c r="D103" s="1">
        <v>44298</v>
      </c>
      <c r="E103" t="s">
        <v>24</v>
      </c>
      <c r="F103">
        <v>33</v>
      </c>
      <c r="G103" t="s">
        <v>171</v>
      </c>
    </row>
    <row r="104" spans="1:7" x14ac:dyDescent="0.25">
      <c r="A104" s="1">
        <v>44299</v>
      </c>
      <c r="B104">
        <v>2021</v>
      </c>
      <c r="C104" s="1">
        <v>44297</v>
      </c>
      <c r="D104" s="1">
        <v>44298</v>
      </c>
      <c r="E104" t="s">
        <v>24</v>
      </c>
      <c r="F104">
        <v>33</v>
      </c>
      <c r="G104" t="s">
        <v>172</v>
      </c>
    </row>
    <row r="105" spans="1:7" x14ac:dyDescent="0.25">
      <c r="A105" s="1">
        <v>44300</v>
      </c>
      <c r="B105">
        <v>2021</v>
      </c>
      <c r="C105" s="1">
        <v>44297</v>
      </c>
      <c r="D105" s="1">
        <v>44298</v>
      </c>
      <c r="E105" t="s">
        <v>24</v>
      </c>
      <c r="F105">
        <v>33</v>
      </c>
      <c r="G105" t="s">
        <v>173</v>
      </c>
    </row>
    <row r="106" spans="1:7" x14ac:dyDescent="0.25">
      <c r="A106" s="1">
        <v>44301</v>
      </c>
      <c r="B106">
        <v>2021</v>
      </c>
      <c r="C106" s="1">
        <v>44297</v>
      </c>
      <c r="D106" s="1">
        <v>44298</v>
      </c>
      <c r="E106" t="s">
        <v>24</v>
      </c>
      <c r="F106">
        <v>33</v>
      </c>
      <c r="G106" t="s">
        <v>174</v>
      </c>
    </row>
    <row r="107" spans="1:7" x14ac:dyDescent="0.25">
      <c r="A107" s="1">
        <v>44302</v>
      </c>
      <c r="B107">
        <v>2021</v>
      </c>
      <c r="C107" s="1">
        <v>44297</v>
      </c>
      <c r="D107" s="1">
        <v>44298</v>
      </c>
      <c r="E107" t="s">
        <v>24</v>
      </c>
      <c r="F107">
        <v>33</v>
      </c>
      <c r="G107" t="s">
        <v>168</v>
      </c>
    </row>
    <row r="108" spans="1:7" x14ac:dyDescent="0.25">
      <c r="A108" s="1">
        <v>44303</v>
      </c>
      <c r="B108">
        <v>2021</v>
      </c>
      <c r="C108" s="1">
        <v>44297</v>
      </c>
      <c r="D108" s="1">
        <v>44298</v>
      </c>
      <c r="E108" t="s">
        <v>24</v>
      </c>
      <c r="F108">
        <v>33</v>
      </c>
      <c r="G108" t="s">
        <v>169</v>
      </c>
    </row>
    <row r="109" spans="1:7" x14ac:dyDescent="0.25">
      <c r="A109" s="1">
        <v>44304</v>
      </c>
      <c r="B109">
        <v>2021</v>
      </c>
      <c r="C109" s="1">
        <v>44304</v>
      </c>
      <c r="D109" s="1">
        <v>44298</v>
      </c>
      <c r="E109" t="s">
        <v>24</v>
      </c>
      <c r="F109">
        <v>33</v>
      </c>
      <c r="G109" t="s">
        <v>170</v>
      </c>
    </row>
    <row r="110" spans="1:7" x14ac:dyDescent="0.25">
      <c r="A110" s="1">
        <v>44305</v>
      </c>
      <c r="B110">
        <v>2021</v>
      </c>
      <c r="C110" s="1">
        <v>44304</v>
      </c>
      <c r="D110" s="1">
        <v>44305</v>
      </c>
      <c r="E110" t="s">
        <v>25</v>
      </c>
      <c r="F110">
        <v>34</v>
      </c>
      <c r="G110" t="s">
        <v>171</v>
      </c>
    </row>
    <row r="111" spans="1:7" x14ac:dyDescent="0.25">
      <c r="A111" s="1">
        <v>44306</v>
      </c>
      <c r="B111">
        <v>2021</v>
      </c>
      <c r="C111" s="1">
        <v>44304</v>
      </c>
      <c r="D111" s="1">
        <v>44305</v>
      </c>
      <c r="E111" t="s">
        <v>25</v>
      </c>
      <c r="F111">
        <v>34</v>
      </c>
      <c r="G111" t="s">
        <v>172</v>
      </c>
    </row>
    <row r="112" spans="1:7" x14ac:dyDescent="0.25">
      <c r="A112" s="1">
        <v>44307</v>
      </c>
      <c r="B112">
        <v>2021</v>
      </c>
      <c r="C112" s="1">
        <v>44304</v>
      </c>
      <c r="D112" s="1">
        <v>44305</v>
      </c>
      <c r="E112" t="s">
        <v>25</v>
      </c>
      <c r="F112">
        <v>34</v>
      </c>
      <c r="G112" t="s">
        <v>173</v>
      </c>
    </row>
    <row r="113" spans="1:7" x14ac:dyDescent="0.25">
      <c r="A113" s="1">
        <v>44308</v>
      </c>
      <c r="B113">
        <v>2021</v>
      </c>
      <c r="C113" s="1">
        <v>44304</v>
      </c>
      <c r="D113" s="1">
        <v>44305</v>
      </c>
      <c r="E113" t="s">
        <v>25</v>
      </c>
      <c r="F113">
        <v>34</v>
      </c>
      <c r="G113" t="s">
        <v>174</v>
      </c>
    </row>
    <row r="114" spans="1:7" x14ac:dyDescent="0.25">
      <c r="A114" s="1">
        <v>44309</v>
      </c>
      <c r="B114">
        <v>2021</v>
      </c>
      <c r="C114" s="1">
        <v>44304</v>
      </c>
      <c r="D114" s="1">
        <v>44305</v>
      </c>
      <c r="E114" t="s">
        <v>25</v>
      </c>
      <c r="F114">
        <v>34</v>
      </c>
      <c r="G114" t="s">
        <v>168</v>
      </c>
    </row>
    <row r="115" spans="1:7" x14ac:dyDescent="0.25">
      <c r="A115" s="1">
        <v>44310</v>
      </c>
      <c r="B115">
        <v>2021</v>
      </c>
      <c r="C115" s="1">
        <v>44304</v>
      </c>
      <c r="D115" s="1">
        <v>44305</v>
      </c>
      <c r="E115" t="s">
        <v>25</v>
      </c>
      <c r="F115">
        <v>34</v>
      </c>
      <c r="G115" t="s">
        <v>169</v>
      </c>
    </row>
    <row r="116" spans="1:7" x14ac:dyDescent="0.25">
      <c r="A116" s="1">
        <v>44311</v>
      </c>
      <c r="B116">
        <v>2021</v>
      </c>
      <c r="C116" s="1">
        <v>44311</v>
      </c>
      <c r="D116" s="1">
        <v>44305</v>
      </c>
      <c r="E116" t="s">
        <v>25</v>
      </c>
      <c r="F116">
        <v>34</v>
      </c>
      <c r="G116" t="s">
        <v>170</v>
      </c>
    </row>
    <row r="117" spans="1:7" x14ac:dyDescent="0.25">
      <c r="A117" s="1">
        <v>44312</v>
      </c>
      <c r="B117">
        <v>2021</v>
      </c>
      <c r="C117" s="1">
        <v>44311</v>
      </c>
      <c r="D117" s="1">
        <v>44312</v>
      </c>
      <c r="E117" t="s">
        <v>26</v>
      </c>
      <c r="F117">
        <v>35</v>
      </c>
      <c r="G117" t="s">
        <v>171</v>
      </c>
    </row>
    <row r="118" spans="1:7" x14ac:dyDescent="0.25">
      <c r="A118" s="1">
        <v>44313</v>
      </c>
      <c r="B118">
        <v>2021</v>
      </c>
      <c r="C118" s="1">
        <v>44311</v>
      </c>
      <c r="D118" s="1">
        <v>44312</v>
      </c>
      <c r="E118" t="s">
        <v>26</v>
      </c>
      <c r="F118">
        <v>35</v>
      </c>
      <c r="G118" t="s">
        <v>172</v>
      </c>
    </row>
    <row r="119" spans="1:7" x14ac:dyDescent="0.25">
      <c r="A119" s="1">
        <v>44314</v>
      </c>
      <c r="B119">
        <v>2021</v>
      </c>
      <c r="C119" s="1">
        <v>44311</v>
      </c>
      <c r="D119" s="1">
        <v>44312</v>
      </c>
      <c r="E119" t="s">
        <v>26</v>
      </c>
      <c r="F119">
        <v>35</v>
      </c>
      <c r="G119" t="s">
        <v>173</v>
      </c>
    </row>
    <row r="120" spans="1:7" x14ac:dyDescent="0.25">
      <c r="A120" s="1">
        <v>44315</v>
      </c>
      <c r="B120">
        <v>2021</v>
      </c>
      <c r="C120" s="1">
        <v>44311</v>
      </c>
      <c r="D120" s="1">
        <v>44312</v>
      </c>
      <c r="E120" t="s">
        <v>26</v>
      </c>
      <c r="F120">
        <v>35</v>
      </c>
      <c r="G120" t="s">
        <v>174</v>
      </c>
    </row>
    <row r="121" spans="1:7" x14ac:dyDescent="0.25">
      <c r="A121" s="1">
        <v>44316</v>
      </c>
      <c r="B121">
        <v>2021</v>
      </c>
      <c r="C121" s="1">
        <v>44311</v>
      </c>
      <c r="D121" s="1">
        <v>44312</v>
      </c>
      <c r="E121" t="s">
        <v>26</v>
      </c>
      <c r="F121">
        <v>35</v>
      </c>
      <c r="G121" t="s">
        <v>168</v>
      </c>
    </row>
    <row r="122" spans="1:7" x14ac:dyDescent="0.25">
      <c r="A122" s="1">
        <v>44317</v>
      </c>
      <c r="B122">
        <v>2021</v>
      </c>
      <c r="C122" s="1">
        <v>44311</v>
      </c>
      <c r="D122" s="1">
        <v>44312</v>
      </c>
      <c r="E122" t="s">
        <v>26</v>
      </c>
      <c r="F122">
        <v>35</v>
      </c>
      <c r="G122" t="s">
        <v>169</v>
      </c>
    </row>
    <row r="123" spans="1:7" x14ac:dyDescent="0.25">
      <c r="A123" s="1">
        <v>44318</v>
      </c>
      <c r="B123">
        <v>2021</v>
      </c>
      <c r="C123" s="1">
        <v>44318</v>
      </c>
      <c r="D123" s="1">
        <v>44312</v>
      </c>
      <c r="E123" t="s">
        <v>26</v>
      </c>
      <c r="F123">
        <v>35</v>
      </c>
      <c r="G123" t="s">
        <v>170</v>
      </c>
    </row>
    <row r="124" spans="1:7" x14ac:dyDescent="0.25">
      <c r="A124" s="1">
        <v>44319</v>
      </c>
      <c r="B124">
        <v>2021</v>
      </c>
      <c r="C124" s="1">
        <v>44318</v>
      </c>
      <c r="D124" s="1">
        <v>44319</v>
      </c>
      <c r="E124" t="s">
        <v>27</v>
      </c>
      <c r="F124">
        <v>36</v>
      </c>
      <c r="G124" t="s">
        <v>171</v>
      </c>
    </row>
    <row r="125" spans="1:7" x14ac:dyDescent="0.25">
      <c r="A125" s="1">
        <v>44320</v>
      </c>
      <c r="B125">
        <v>2021</v>
      </c>
      <c r="C125" s="1">
        <v>44318</v>
      </c>
      <c r="D125" s="1">
        <v>44319</v>
      </c>
      <c r="E125" t="s">
        <v>27</v>
      </c>
      <c r="F125">
        <v>36</v>
      </c>
      <c r="G125" t="s">
        <v>172</v>
      </c>
    </row>
    <row r="126" spans="1:7" x14ac:dyDescent="0.25">
      <c r="A126" s="1">
        <v>44321</v>
      </c>
      <c r="B126">
        <v>2021</v>
      </c>
      <c r="C126" s="1">
        <v>44318</v>
      </c>
      <c r="D126" s="1">
        <v>44319</v>
      </c>
      <c r="E126" t="s">
        <v>27</v>
      </c>
      <c r="F126">
        <v>36</v>
      </c>
      <c r="G126" t="s">
        <v>173</v>
      </c>
    </row>
    <row r="127" spans="1:7" x14ac:dyDescent="0.25">
      <c r="A127" s="1">
        <v>44322</v>
      </c>
      <c r="B127">
        <v>2021</v>
      </c>
      <c r="C127" s="1">
        <v>44318</v>
      </c>
      <c r="D127" s="1">
        <v>44319</v>
      </c>
      <c r="E127" t="s">
        <v>27</v>
      </c>
      <c r="F127">
        <v>36</v>
      </c>
      <c r="G127" t="s">
        <v>174</v>
      </c>
    </row>
    <row r="128" spans="1:7" x14ac:dyDescent="0.25">
      <c r="A128" s="1">
        <v>44323</v>
      </c>
      <c r="B128">
        <v>2021</v>
      </c>
      <c r="C128" s="1">
        <v>44318</v>
      </c>
      <c r="D128" s="1">
        <v>44319</v>
      </c>
      <c r="E128" t="s">
        <v>27</v>
      </c>
      <c r="F128">
        <v>36</v>
      </c>
      <c r="G128" t="s">
        <v>168</v>
      </c>
    </row>
    <row r="129" spans="1:7" x14ac:dyDescent="0.25">
      <c r="A129" s="1">
        <v>44324</v>
      </c>
      <c r="B129">
        <v>2021</v>
      </c>
      <c r="C129" s="1">
        <v>44318</v>
      </c>
      <c r="D129" s="1">
        <v>44319</v>
      </c>
      <c r="E129" t="s">
        <v>27</v>
      </c>
      <c r="F129">
        <v>36</v>
      </c>
      <c r="G129" t="s">
        <v>169</v>
      </c>
    </row>
    <row r="130" spans="1:7" x14ac:dyDescent="0.25">
      <c r="A130" s="1">
        <v>44325</v>
      </c>
      <c r="B130">
        <v>2021</v>
      </c>
      <c r="C130" s="1">
        <v>44325</v>
      </c>
      <c r="D130" s="1">
        <v>44319</v>
      </c>
      <c r="E130" t="s">
        <v>27</v>
      </c>
      <c r="F130">
        <v>36</v>
      </c>
      <c r="G130" t="s">
        <v>170</v>
      </c>
    </row>
    <row r="131" spans="1:7" x14ac:dyDescent="0.25">
      <c r="A131" s="1">
        <v>44326</v>
      </c>
      <c r="B131">
        <v>2021</v>
      </c>
      <c r="C131" s="1">
        <v>44325</v>
      </c>
      <c r="D131" s="1">
        <v>44326</v>
      </c>
      <c r="E131" t="s">
        <v>28</v>
      </c>
      <c r="F131">
        <v>37</v>
      </c>
      <c r="G131" t="s">
        <v>171</v>
      </c>
    </row>
    <row r="132" spans="1:7" x14ac:dyDescent="0.25">
      <c r="A132" s="1">
        <v>44327</v>
      </c>
      <c r="B132">
        <v>2021</v>
      </c>
      <c r="C132" s="1">
        <v>44325</v>
      </c>
      <c r="D132" s="1">
        <v>44326</v>
      </c>
      <c r="E132" t="s">
        <v>28</v>
      </c>
      <c r="F132">
        <v>37</v>
      </c>
      <c r="G132" t="s">
        <v>172</v>
      </c>
    </row>
    <row r="133" spans="1:7" x14ac:dyDescent="0.25">
      <c r="A133" s="1">
        <v>44328</v>
      </c>
      <c r="B133">
        <v>2021</v>
      </c>
      <c r="C133" s="1">
        <v>44325</v>
      </c>
      <c r="D133" s="1">
        <v>44326</v>
      </c>
      <c r="E133" t="s">
        <v>28</v>
      </c>
      <c r="F133">
        <v>37</v>
      </c>
      <c r="G133" t="s">
        <v>173</v>
      </c>
    </row>
    <row r="134" spans="1:7" x14ac:dyDescent="0.25">
      <c r="A134" s="1">
        <v>44329</v>
      </c>
      <c r="B134">
        <v>2021</v>
      </c>
      <c r="C134" s="1">
        <v>44325</v>
      </c>
      <c r="D134" s="1">
        <v>44326</v>
      </c>
      <c r="E134" t="s">
        <v>28</v>
      </c>
      <c r="F134">
        <v>37</v>
      </c>
      <c r="G134" t="s">
        <v>174</v>
      </c>
    </row>
    <row r="135" spans="1:7" x14ac:dyDescent="0.25">
      <c r="A135" s="1">
        <v>44330</v>
      </c>
      <c r="B135">
        <v>2021</v>
      </c>
      <c r="C135" s="1">
        <v>44325</v>
      </c>
      <c r="D135" s="1">
        <v>44326</v>
      </c>
      <c r="E135" t="s">
        <v>28</v>
      </c>
      <c r="F135">
        <v>37</v>
      </c>
      <c r="G135" t="s">
        <v>168</v>
      </c>
    </row>
    <row r="136" spans="1:7" x14ac:dyDescent="0.25">
      <c r="A136" s="1">
        <v>44331</v>
      </c>
      <c r="B136">
        <v>2021</v>
      </c>
      <c r="C136" s="1">
        <v>44325</v>
      </c>
      <c r="D136" s="1">
        <v>44326</v>
      </c>
      <c r="E136" t="s">
        <v>28</v>
      </c>
      <c r="F136">
        <v>37</v>
      </c>
      <c r="G136" t="s">
        <v>169</v>
      </c>
    </row>
    <row r="137" spans="1:7" x14ac:dyDescent="0.25">
      <c r="A137" s="1">
        <v>44332</v>
      </c>
      <c r="B137">
        <v>2021</v>
      </c>
      <c r="C137" s="1">
        <v>44332</v>
      </c>
      <c r="D137" s="1">
        <v>44326</v>
      </c>
      <c r="E137" t="s">
        <v>28</v>
      </c>
      <c r="F137">
        <v>37</v>
      </c>
      <c r="G137" t="s">
        <v>170</v>
      </c>
    </row>
    <row r="138" spans="1:7" x14ac:dyDescent="0.25">
      <c r="A138" s="1">
        <v>44333</v>
      </c>
      <c r="B138">
        <v>2021</v>
      </c>
      <c r="C138" s="1">
        <v>44332</v>
      </c>
      <c r="D138" s="1">
        <v>44333</v>
      </c>
      <c r="E138" t="s">
        <v>29</v>
      </c>
      <c r="F138">
        <v>38</v>
      </c>
      <c r="G138" t="s">
        <v>171</v>
      </c>
    </row>
    <row r="139" spans="1:7" x14ac:dyDescent="0.25">
      <c r="A139" s="1">
        <v>44334</v>
      </c>
      <c r="B139">
        <v>2021</v>
      </c>
      <c r="C139" s="1">
        <v>44332</v>
      </c>
      <c r="D139" s="1">
        <v>44333</v>
      </c>
      <c r="E139" t="s">
        <v>29</v>
      </c>
      <c r="F139">
        <v>38</v>
      </c>
      <c r="G139" t="s">
        <v>172</v>
      </c>
    </row>
    <row r="140" spans="1:7" x14ac:dyDescent="0.25">
      <c r="A140" s="1">
        <v>44335</v>
      </c>
      <c r="B140">
        <v>2021</v>
      </c>
      <c r="C140" s="1">
        <v>44332</v>
      </c>
      <c r="D140" s="1">
        <v>44333</v>
      </c>
      <c r="E140" t="s">
        <v>29</v>
      </c>
      <c r="F140">
        <v>38</v>
      </c>
      <c r="G140" t="s">
        <v>173</v>
      </c>
    </row>
    <row r="141" spans="1:7" x14ac:dyDescent="0.25">
      <c r="A141" s="1">
        <v>44336</v>
      </c>
      <c r="B141">
        <v>2021</v>
      </c>
      <c r="C141" s="1">
        <v>44332</v>
      </c>
      <c r="D141" s="1">
        <v>44333</v>
      </c>
      <c r="E141" t="s">
        <v>29</v>
      </c>
      <c r="F141">
        <v>38</v>
      </c>
      <c r="G141" t="s">
        <v>174</v>
      </c>
    </row>
    <row r="142" spans="1:7" x14ac:dyDescent="0.25">
      <c r="A142" s="1">
        <v>44337</v>
      </c>
      <c r="B142">
        <v>2021</v>
      </c>
      <c r="C142" s="1">
        <v>44332</v>
      </c>
      <c r="D142" s="1">
        <v>44333</v>
      </c>
      <c r="E142" t="s">
        <v>29</v>
      </c>
      <c r="F142">
        <v>38</v>
      </c>
      <c r="G142" t="s">
        <v>168</v>
      </c>
    </row>
    <row r="143" spans="1:7" x14ac:dyDescent="0.25">
      <c r="A143" s="1">
        <v>44338</v>
      </c>
      <c r="B143">
        <v>2021</v>
      </c>
      <c r="C143" s="1">
        <v>44332</v>
      </c>
      <c r="D143" s="1">
        <v>44333</v>
      </c>
      <c r="E143" t="s">
        <v>29</v>
      </c>
      <c r="F143">
        <v>38</v>
      </c>
      <c r="G143" t="s">
        <v>169</v>
      </c>
    </row>
    <row r="144" spans="1:7" x14ac:dyDescent="0.25">
      <c r="A144" s="1">
        <v>44339</v>
      </c>
      <c r="B144">
        <v>2021</v>
      </c>
      <c r="C144" s="1">
        <v>44339</v>
      </c>
      <c r="D144" s="1">
        <v>44333</v>
      </c>
      <c r="E144" t="s">
        <v>29</v>
      </c>
      <c r="F144">
        <v>38</v>
      </c>
      <c r="G144" t="s">
        <v>170</v>
      </c>
    </row>
    <row r="145" spans="1:7" x14ac:dyDescent="0.25">
      <c r="A145" s="1">
        <v>44340</v>
      </c>
      <c r="B145">
        <v>2021</v>
      </c>
      <c r="C145" s="1">
        <v>44339</v>
      </c>
      <c r="D145" s="1">
        <v>44340</v>
      </c>
      <c r="E145" t="s">
        <v>30</v>
      </c>
      <c r="F145">
        <v>39</v>
      </c>
      <c r="G145" t="s">
        <v>171</v>
      </c>
    </row>
    <row r="146" spans="1:7" x14ac:dyDescent="0.25">
      <c r="A146" s="1">
        <v>44341</v>
      </c>
      <c r="B146">
        <v>2021</v>
      </c>
      <c r="C146" s="1">
        <v>44339</v>
      </c>
      <c r="D146" s="1">
        <v>44340</v>
      </c>
      <c r="E146" t="s">
        <v>30</v>
      </c>
      <c r="F146">
        <v>39</v>
      </c>
      <c r="G146" t="s">
        <v>172</v>
      </c>
    </row>
    <row r="147" spans="1:7" x14ac:dyDescent="0.25">
      <c r="A147" s="1">
        <v>44342</v>
      </c>
      <c r="B147">
        <v>2021</v>
      </c>
      <c r="C147" s="1">
        <v>44339</v>
      </c>
      <c r="D147" s="1">
        <v>44340</v>
      </c>
      <c r="E147" t="s">
        <v>30</v>
      </c>
      <c r="F147">
        <v>39</v>
      </c>
      <c r="G147" t="s">
        <v>173</v>
      </c>
    </row>
    <row r="148" spans="1:7" x14ac:dyDescent="0.25">
      <c r="A148" s="1">
        <v>44343</v>
      </c>
      <c r="B148">
        <v>2021</v>
      </c>
      <c r="C148" s="1">
        <v>44339</v>
      </c>
      <c r="D148" s="1">
        <v>44340</v>
      </c>
      <c r="E148" t="s">
        <v>30</v>
      </c>
      <c r="F148">
        <v>39</v>
      </c>
      <c r="G148" t="s">
        <v>174</v>
      </c>
    </row>
    <row r="149" spans="1:7" x14ac:dyDescent="0.25">
      <c r="A149" s="1">
        <v>44344</v>
      </c>
      <c r="B149">
        <v>2021</v>
      </c>
      <c r="C149" s="1">
        <v>44339</v>
      </c>
      <c r="D149" s="1">
        <v>44340</v>
      </c>
      <c r="E149" t="s">
        <v>30</v>
      </c>
      <c r="F149">
        <v>39</v>
      </c>
      <c r="G149" t="s">
        <v>168</v>
      </c>
    </row>
    <row r="150" spans="1:7" x14ac:dyDescent="0.25">
      <c r="A150" s="1">
        <v>44345</v>
      </c>
      <c r="B150">
        <v>2021</v>
      </c>
      <c r="C150" s="1">
        <v>44339</v>
      </c>
      <c r="D150" s="1">
        <v>44340</v>
      </c>
      <c r="E150" t="s">
        <v>30</v>
      </c>
      <c r="F150">
        <v>39</v>
      </c>
      <c r="G150" t="s">
        <v>169</v>
      </c>
    </row>
    <row r="151" spans="1:7" x14ac:dyDescent="0.25">
      <c r="A151" s="1">
        <v>44346</v>
      </c>
      <c r="B151">
        <v>2021</v>
      </c>
      <c r="C151" s="1">
        <v>44346</v>
      </c>
      <c r="D151" s="1">
        <v>44340</v>
      </c>
      <c r="E151" t="s">
        <v>30</v>
      </c>
      <c r="F151">
        <v>39</v>
      </c>
      <c r="G151" t="s">
        <v>170</v>
      </c>
    </row>
    <row r="152" spans="1:7" x14ac:dyDescent="0.25">
      <c r="A152" s="1">
        <v>44347</v>
      </c>
      <c r="B152">
        <v>2021</v>
      </c>
      <c r="C152" s="1">
        <v>44346</v>
      </c>
      <c r="D152" s="1">
        <v>44347</v>
      </c>
      <c r="E152" t="s">
        <v>31</v>
      </c>
      <c r="F152">
        <v>40</v>
      </c>
      <c r="G152" t="s">
        <v>171</v>
      </c>
    </row>
    <row r="153" spans="1:7" x14ac:dyDescent="0.25">
      <c r="A153" s="1">
        <v>44348</v>
      </c>
      <c r="B153">
        <v>2021</v>
      </c>
      <c r="C153" s="1">
        <v>44346</v>
      </c>
      <c r="D153" s="1">
        <v>44347</v>
      </c>
      <c r="E153" t="s">
        <v>31</v>
      </c>
      <c r="F153">
        <v>40</v>
      </c>
      <c r="G153" t="s">
        <v>172</v>
      </c>
    </row>
    <row r="154" spans="1:7" x14ac:dyDescent="0.25">
      <c r="A154" s="1">
        <v>44349</v>
      </c>
      <c r="B154">
        <v>2021</v>
      </c>
      <c r="C154" s="1">
        <v>44346</v>
      </c>
      <c r="D154" s="1">
        <v>44347</v>
      </c>
      <c r="E154" t="s">
        <v>31</v>
      </c>
      <c r="F154">
        <v>40</v>
      </c>
      <c r="G154" t="s">
        <v>173</v>
      </c>
    </row>
    <row r="155" spans="1:7" x14ac:dyDescent="0.25">
      <c r="A155" s="1">
        <v>44350</v>
      </c>
      <c r="B155">
        <v>2021</v>
      </c>
      <c r="C155" s="1">
        <v>44346</v>
      </c>
      <c r="D155" s="1">
        <v>44347</v>
      </c>
      <c r="E155" t="s">
        <v>31</v>
      </c>
      <c r="F155">
        <v>40</v>
      </c>
      <c r="G155" t="s">
        <v>174</v>
      </c>
    </row>
    <row r="156" spans="1:7" x14ac:dyDescent="0.25">
      <c r="A156" s="1">
        <v>44351</v>
      </c>
      <c r="B156">
        <v>2021</v>
      </c>
      <c r="C156" s="1">
        <v>44346</v>
      </c>
      <c r="D156" s="1">
        <v>44347</v>
      </c>
      <c r="E156" t="s">
        <v>31</v>
      </c>
      <c r="F156">
        <v>40</v>
      </c>
      <c r="G156" t="s">
        <v>168</v>
      </c>
    </row>
    <row r="157" spans="1:7" x14ac:dyDescent="0.25">
      <c r="A157" s="1">
        <v>44352</v>
      </c>
      <c r="B157">
        <v>2021</v>
      </c>
      <c r="C157" s="1">
        <v>44346</v>
      </c>
      <c r="D157" s="1">
        <v>44347</v>
      </c>
      <c r="E157" t="s">
        <v>31</v>
      </c>
      <c r="F157">
        <v>40</v>
      </c>
      <c r="G157" t="s">
        <v>169</v>
      </c>
    </row>
    <row r="158" spans="1:7" x14ac:dyDescent="0.25">
      <c r="A158" s="1">
        <v>44353</v>
      </c>
      <c r="B158">
        <v>2021</v>
      </c>
      <c r="C158" s="1">
        <v>44353</v>
      </c>
      <c r="D158" s="1">
        <v>44347</v>
      </c>
      <c r="E158" t="s">
        <v>31</v>
      </c>
      <c r="F158">
        <v>40</v>
      </c>
      <c r="G158" t="s">
        <v>170</v>
      </c>
    </row>
    <row r="159" spans="1:7" x14ac:dyDescent="0.25">
      <c r="A159" s="1">
        <v>44354</v>
      </c>
      <c r="B159">
        <v>2021</v>
      </c>
      <c r="C159" s="1">
        <v>44353</v>
      </c>
      <c r="D159" s="1">
        <v>44354</v>
      </c>
      <c r="E159" t="s">
        <v>32</v>
      </c>
      <c r="F159">
        <v>41</v>
      </c>
      <c r="G159" t="s">
        <v>171</v>
      </c>
    </row>
    <row r="160" spans="1:7" x14ac:dyDescent="0.25">
      <c r="A160" s="1">
        <v>44355</v>
      </c>
      <c r="B160">
        <v>2021</v>
      </c>
      <c r="C160" s="1">
        <v>44353</v>
      </c>
      <c r="D160" s="1">
        <v>44354</v>
      </c>
      <c r="E160" t="s">
        <v>32</v>
      </c>
      <c r="F160">
        <v>41</v>
      </c>
      <c r="G160" t="s">
        <v>172</v>
      </c>
    </row>
    <row r="161" spans="1:7" x14ac:dyDescent="0.25">
      <c r="A161" s="1">
        <v>44356</v>
      </c>
      <c r="B161">
        <v>2021</v>
      </c>
      <c r="C161" s="1">
        <v>44353</v>
      </c>
      <c r="D161" s="1">
        <v>44354</v>
      </c>
      <c r="E161" t="s">
        <v>32</v>
      </c>
      <c r="F161">
        <v>41</v>
      </c>
      <c r="G161" t="s">
        <v>173</v>
      </c>
    </row>
    <row r="162" spans="1:7" x14ac:dyDescent="0.25">
      <c r="A162" s="1">
        <v>44357</v>
      </c>
      <c r="B162">
        <v>2021</v>
      </c>
      <c r="C162" s="1">
        <v>44353</v>
      </c>
      <c r="D162" s="1">
        <v>44354</v>
      </c>
      <c r="E162" t="s">
        <v>32</v>
      </c>
      <c r="F162">
        <v>41</v>
      </c>
      <c r="G162" t="s">
        <v>174</v>
      </c>
    </row>
    <row r="163" spans="1:7" x14ac:dyDescent="0.25">
      <c r="A163" s="1">
        <v>44358</v>
      </c>
      <c r="B163">
        <v>2021</v>
      </c>
      <c r="C163" s="1">
        <v>44353</v>
      </c>
      <c r="D163" s="1">
        <v>44354</v>
      </c>
      <c r="E163" t="s">
        <v>32</v>
      </c>
      <c r="F163">
        <v>41</v>
      </c>
      <c r="G163" t="s">
        <v>168</v>
      </c>
    </row>
    <row r="164" spans="1:7" x14ac:dyDescent="0.25">
      <c r="A164" s="1">
        <v>44359</v>
      </c>
      <c r="B164">
        <v>2021</v>
      </c>
      <c r="C164" s="1">
        <v>44353</v>
      </c>
      <c r="D164" s="1">
        <v>44354</v>
      </c>
      <c r="E164" t="s">
        <v>32</v>
      </c>
      <c r="F164">
        <v>41</v>
      </c>
      <c r="G164" t="s">
        <v>169</v>
      </c>
    </row>
    <row r="165" spans="1:7" x14ac:dyDescent="0.25">
      <c r="A165" s="1">
        <v>44360</v>
      </c>
      <c r="B165">
        <v>2021</v>
      </c>
      <c r="C165" s="1">
        <v>44360</v>
      </c>
      <c r="D165" s="1">
        <v>44354</v>
      </c>
      <c r="E165" t="s">
        <v>32</v>
      </c>
      <c r="F165">
        <v>41</v>
      </c>
      <c r="G165" t="s">
        <v>170</v>
      </c>
    </row>
    <row r="166" spans="1:7" x14ac:dyDescent="0.25">
      <c r="A166" s="1">
        <v>44361</v>
      </c>
      <c r="B166">
        <v>2021</v>
      </c>
      <c r="C166" s="1">
        <v>44360</v>
      </c>
      <c r="D166" s="1">
        <v>44361</v>
      </c>
      <c r="E166" t="s">
        <v>33</v>
      </c>
      <c r="F166">
        <v>42</v>
      </c>
      <c r="G166" t="s">
        <v>171</v>
      </c>
    </row>
    <row r="167" spans="1:7" x14ac:dyDescent="0.25">
      <c r="A167" s="1">
        <v>44362</v>
      </c>
      <c r="B167">
        <v>2021</v>
      </c>
      <c r="C167" s="1">
        <v>44360</v>
      </c>
      <c r="D167" s="1">
        <v>44361</v>
      </c>
      <c r="E167" t="s">
        <v>33</v>
      </c>
      <c r="F167">
        <v>42</v>
      </c>
      <c r="G167" t="s">
        <v>172</v>
      </c>
    </row>
    <row r="168" spans="1:7" x14ac:dyDescent="0.25">
      <c r="A168" s="1">
        <v>44363</v>
      </c>
      <c r="B168">
        <v>2021</v>
      </c>
      <c r="C168" s="1">
        <v>44360</v>
      </c>
      <c r="D168" s="1">
        <v>44361</v>
      </c>
      <c r="E168" t="s">
        <v>33</v>
      </c>
      <c r="F168">
        <v>42</v>
      </c>
      <c r="G168" t="s">
        <v>173</v>
      </c>
    </row>
    <row r="169" spans="1:7" x14ac:dyDescent="0.25">
      <c r="A169" s="1">
        <v>44364</v>
      </c>
      <c r="B169">
        <v>2021</v>
      </c>
      <c r="C169" s="1">
        <v>44360</v>
      </c>
      <c r="D169" s="1">
        <v>44361</v>
      </c>
      <c r="E169" t="s">
        <v>33</v>
      </c>
      <c r="F169">
        <v>42</v>
      </c>
      <c r="G169" t="s">
        <v>174</v>
      </c>
    </row>
    <row r="170" spans="1:7" x14ac:dyDescent="0.25">
      <c r="A170" s="1">
        <v>44365</v>
      </c>
      <c r="B170">
        <v>2021</v>
      </c>
      <c r="C170" s="1">
        <v>44360</v>
      </c>
      <c r="D170" s="1">
        <v>44361</v>
      </c>
      <c r="E170" t="s">
        <v>33</v>
      </c>
      <c r="F170">
        <v>42</v>
      </c>
      <c r="G170" t="s">
        <v>168</v>
      </c>
    </row>
    <row r="171" spans="1:7" x14ac:dyDescent="0.25">
      <c r="A171" s="1">
        <v>44366</v>
      </c>
      <c r="B171">
        <v>2021</v>
      </c>
      <c r="C171" s="1">
        <v>44360</v>
      </c>
      <c r="D171" s="1">
        <v>44361</v>
      </c>
      <c r="E171" t="s">
        <v>33</v>
      </c>
      <c r="F171">
        <v>42</v>
      </c>
      <c r="G171" t="s">
        <v>169</v>
      </c>
    </row>
    <row r="172" spans="1:7" x14ac:dyDescent="0.25">
      <c r="A172" s="1">
        <v>44367</v>
      </c>
      <c r="B172">
        <v>2021</v>
      </c>
      <c r="C172" s="1">
        <v>44367</v>
      </c>
      <c r="D172" s="1">
        <v>44361</v>
      </c>
      <c r="E172" t="s">
        <v>33</v>
      </c>
      <c r="F172">
        <v>42</v>
      </c>
      <c r="G172" t="s">
        <v>170</v>
      </c>
    </row>
    <row r="173" spans="1:7" x14ac:dyDescent="0.25">
      <c r="A173" s="1">
        <v>44368</v>
      </c>
      <c r="B173">
        <v>2021</v>
      </c>
      <c r="C173" s="1">
        <v>44367</v>
      </c>
      <c r="D173" s="1">
        <v>44368</v>
      </c>
      <c r="E173" t="s">
        <v>34</v>
      </c>
      <c r="F173">
        <v>43</v>
      </c>
      <c r="G173" t="s">
        <v>171</v>
      </c>
    </row>
    <row r="174" spans="1:7" x14ac:dyDescent="0.25">
      <c r="A174" s="1">
        <v>44369</v>
      </c>
      <c r="B174">
        <v>2021</v>
      </c>
      <c r="C174" s="1">
        <v>44367</v>
      </c>
      <c r="D174" s="1">
        <v>44368</v>
      </c>
      <c r="E174" t="s">
        <v>34</v>
      </c>
      <c r="F174">
        <v>43</v>
      </c>
      <c r="G174" t="s">
        <v>172</v>
      </c>
    </row>
    <row r="175" spans="1:7" x14ac:dyDescent="0.25">
      <c r="A175" s="1">
        <v>44370</v>
      </c>
      <c r="B175">
        <v>2021</v>
      </c>
      <c r="C175" s="1">
        <v>44367</v>
      </c>
      <c r="D175" s="1">
        <v>44368</v>
      </c>
      <c r="E175" t="s">
        <v>34</v>
      </c>
      <c r="F175">
        <v>43</v>
      </c>
      <c r="G175" t="s">
        <v>173</v>
      </c>
    </row>
    <row r="176" spans="1:7" x14ac:dyDescent="0.25">
      <c r="A176" s="1">
        <v>44371</v>
      </c>
      <c r="B176">
        <v>2021</v>
      </c>
      <c r="C176" s="1">
        <v>44367</v>
      </c>
      <c r="D176" s="1">
        <v>44368</v>
      </c>
      <c r="E176" t="s">
        <v>34</v>
      </c>
      <c r="F176">
        <v>43</v>
      </c>
      <c r="G176" t="s">
        <v>174</v>
      </c>
    </row>
    <row r="177" spans="1:7" x14ac:dyDescent="0.25">
      <c r="A177" s="1">
        <v>44372</v>
      </c>
      <c r="B177">
        <v>2021</v>
      </c>
      <c r="C177" s="1">
        <v>44367</v>
      </c>
      <c r="D177" s="1">
        <v>44368</v>
      </c>
      <c r="E177" t="s">
        <v>34</v>
      </c>
      <c r="F177">
        <v>43</v>
      </c>
      <c r="G177" t="s">
        <v>168</v>
      </c>
    </row>
    <row r="178" spans="1:7" x14ac:dyDescent="0.25">
      <c r="A178" s="1">
        <v>44373</v>
      </c>
      <c r="B178">
        <v>2021</v>
      </c>
      <c r="C178" s="1">
        <v>44367</v>
      </c>
      <c r="D178" s="1">
        <v>44368</v>
      </c>
      <c r="E178" t="s">
        <v>34</v>
      </c>
      <c r="F178">
        <v>43</v>
      </c>
      <c r="G178" t="s">
        <v>169</v>
      </c>
    </row>
    <row r="179" spans="1:7" x14ac:dyDescent="0.25">
      <c r="A179" s="1">
        <v>44374</v>
      </c>
      <c r="B179">
        <v>2021</v>
      </c>
      <c r="C179" s="1">
        <v>44374</v>
      </c>
      <c r="D179" s="1">
        <v>44368</v>
      </c>
      <c r="E179" t="s">
        <v>34</v>
      </c>
      <c r="F179">
        <v>43</v>
      </c>
      <c r="G179" t="s">
        <v>170</v>
      </c>
    </row>
    <row r="180" spans="1:7" x14ac:dyDescent="0.25">
      <c r="A180" s="1">
        <v>44375</v>
      </c>
      <c r="B180">
        <v>2021</v>
      </c>
      <c r="C180" s="1">
        <v>44374</v>
      </c>
      <c r="D180" s="1">
        <v>44375</v>
      </c>
      <c r="E180" t="s">
        <v>35</v>
      </c>
      <c r="F180">
        <v>44</v>
      </c>
      <c r="G180" t="s">
        <v>171</v>
      </c>
    </row>
    <row r="181" spans="1:7" x14ac:dyDescent="0.25">
      <c r="A181" s="1">
        <v>44376</v>
      </c>
      <c r="B181">
        <v>2021</v>
      </c>
      <c r="C181" s="1">
        <v>44374</v>
      </c>
      <c r="D181" s="1">
        <v>44375</v>
      </c>
      <c r="E181" t="s">
        <v>35</v>
      </c>
      <c r="F181">
        <v>44</v>
      </c>
      <c r="G181" t="s">
        <v>172</v>
      </c>
    </row>
    <row r="182" spans="1:7" x14ac:dyDescent="0.25">
      <c r="A182" s="1">
        <v>44377</v>
      </c>
      <c r="B182">
        <v>2021</v>
      </c>
      <c r="C182" s="1">
        <v>44374</v>
      </c>
      <c r="D182" s="1">
        <v>44375</v>
      </c>
      <c r="E182" t="s">
        <v>35</v>
      </c>
      <c r="F182">
        <v>44</v>
      </c>
      <c r="G182" t="s">
        <v>173</v>
      </c>
    </row>
    <row r="183" spans="1:7" x14ac:dyDescent="0.25">
      <c r="A183" s="1">
        <v>44378</v>
      </c>
      <c r="B183">
        <v>2021</v>
      </c>
      <c r="C183" s="1">
        <v>44374</v>
      </c>
      <c r="D183" s="1">
        <v>44375</v>
      </c>
      <c r="E183" t="s">
        <v>35</v>
      </c>
      <c r="F183">
        <v>44</v>
      </c>
      <c r="G183" t="s">
        <v>174</v>
      </c>
    </row>
    <row r="184" spans="1:7" x14ac:dyDescent="0.25">
      <c r="A184" s="1">
        <v>44379</v>
      </c>
      <c r="B184">
        <v>2021</v>
      </c>
      <c r="C184" s="1">
        <v>44374</v>
      </c>
      <c r="D184" s="1">
        <v>44375</v>
      </c>
      <c r="E184" t="s">
        <v>35</v>
      </c>
      <c r="F184">
        <v>44</v>
      </c>
      <c r="G184" t="s">
        <v>168</v>
      </c>
    </row>
    <row r="185" spans="1:7" x14ac:dyDescent="0.25">
      <c r="A185" s="1">
        <v>44380</v>
      </c>
      <c r="B185">
        <v>2021</v>
      </c>
      <c r="C185" s="1">
        <v>44374</v>
      </c>
      <c r="D185" s="1">
        <v>44375</v>
      </c>
      <c r="E185" t="s">
        <v>35</v>
      </c>
      <c r="F185">
        <v>44</v>
      </c>
      <c r="G185" t="s">
        <v>169</v>
      </c>
    </row>
    <row r="186" spans="1:7" x14ac:dyDescent="0.25">
      <c r="A186" s="1">
        <v>44381</v>
      </c>
      <c r="B186">
        <v>2021</v>
      </c>
      <c r="C186" s="1">
        <v>44381</v>
      </c>
      <c r="D186" s="1">
        <v>44375</v>
      </c>
      <c r="E186" t="s">
        <v>35</v>
      </c>
      <c r="F186">
        <v>44</v>
      </c>
      <c r="G186" t="s">
        <v>170</v>
      </c>
    </row>
    <row r="187" spans="1:7" x14ac:dyDescent="0.25">
      <c r="A187" s="1">
        <v>44382</v>
      </c>
      <c r="B187">
        <v>2021</v>
      </c>
      <c r="C187" s="1">
        <v>44381</v>
      </c>
      <c r="D187" s="1">
        <v>44382</v>
      </c>
      <c r="E187" t="s">
        <v>36</v>
      </c>
      <c r="F187">
        <v>45</v>
      </c>
      <c r="G187" t="s">
        <v>171</v>
      </c>
    </row>
    <row r="188" spans="1:7" x14ac:dyDescent="0.25">
      <c r="A188" s="1">
        <v>44383</v>
      </c>
      <c r="B188">
        <v>2021</v>
      </c>
      <c r="C188" s="1">
        <v>44381</v>
      </c>
      <c r="D188" s="1">
        <v>44382</v>
      </c>
      <c r="E188" t="s">
        <v>36</v>
      </c>
      <c r="F188">
        <v>45</v>
      </c>
      <c r="G188" t="s">
        <v>172</v>
      </c>
    </row>
    <row r="189" spans="1:7" x14ac:dyDescent="0.25">
      <c r="A189" s="1">
        <v>44384</v>
      </c>
      <c r="B189">
        <v>2021</v>
      </c>
      <c r="C189" s="1">
        <v>44381</v>
      </c>
      <c r="D189" s="1">
        <v>44382</v>
      </c>
      <c r="E189" t="s">
        <v>36</v>
      </c>
      <c r="F189">
        <v>45</v>
      </c>
      <c r="G189" t="s">
        <v>173</v>
      </c>
    </row>
    <row r="190" spans="1:7" x14ac:dyDescent="0.25">
      <c r="A190" s="1">
        <v>44385</v>
      </c>
      <c r="B190">
        <v>2021</v>
      </c>
      <c r="C190" s="1">
        <v>44381</v>
      </c>
      <c r="D190" s="1">
        <v>44382</v>
      </c>
      <c r="E190" t="s">
        <v>36</v>
      </c>
      <c r="F190">
        <v>45</v>
      </c>
      <c r="G190" t="s">
        <v>174</v>
      </c>
    </row>
    <row r="191" spans="1:7" x14ac:dyDescent="0.25">
      <c r="A191" s="1">
        <v>44386</v>
      </c>
      <c r="B191">
        <v>2021</v>
      </c>
      <c r="C191" s="1">
        <v>44381</v>
      </c>
      <c r="D191" s="1">
        <v>44382</v>
      </c>
      <c r="E191" t="s">
        <v>36</v>
      </c>
      <c r="F191">
        <v>45</v>
      </c>
      <c r="G191" t="s">
        <v>168</v>
      </c>
    </row>
    <row r="192" spans="1:7" x14ac:dyDescent="0.25">
      <c r="A192" s="1">
        <v>44387</v>
      </c>
      <c r="B192">
        <v>2021</v>
      </c>
      <c r="C192" s="1">
        <v>44381</v>
      </c>
      <c r="D192" s="1">
        <v>44382</v>
      </c>
      <c r="E192" t="s">
        <v>36</v>
      </c>
      <c r="F192">
        <v>45</v>
      </c>
      <c r="G192" t="s">
        <v>169</v>
      </c>
    </row>
    <row r="193" spans="1:7" x14ac:dyDescent="0.25">
      <c r="A193" s="1">
        <v>44388</v>
      </c>
      <c r="B193">
        <v>2021</v>
      </c>
      <c r="C193" s="1">
        <v>44388</v>
      </c>
      <c r="D193" s="1">
        <v>44382</v>
      </c>
      <c r="E193" t="s">
        <v>36</v>
      </c>
      <c r="F193">
        <v>45</v>
      </c>
      <c r="G193" t="s">
        <v>170</v>
      </c>
    </row>
    <row r="194" spans="1:7" x14ac:dyDescent="0.25">
      <c r="A194" s="1">
        <v>44389</v>
      </c>
      <c r="B194">
        <v>2021</v>
      </c>
      <c r="C194" s="1">
        <v>44388</v>
      </c>
      <c r="D194" s="1">
        <v>44389</v>
      </c>
      <c r="E194" t="s">
        <v>37</v>
      </c>
      <c r="F194">
        <v>46</v>
      </c>
      <c r="G194" t="s">
        <v>171</v>
      </c>
    </row>
    <row r="195" spans="1:7" x14ac:dyDescent="0.25">
      <c r="A195" s="1">
        <v>44390</v>
      </c>
      <c r="B195">
        <v>2021</v>
      </c>
      <c r="C195" s="1">
        <v>44388</v>
      </c>
      <c r="D195" s="1">
        <v>44389</v>
      </c>
      <c r="E195" t="s">
        <v>37</v>
      </c>
      <c r="F195">
        <v>46</v>
      </c>
      <c r="G195" t="s">
        <v>172</v>
      </c>
    </row>
    <row r="196" spans="1:7" x14ac:dyDescent="0.25">
      <c r="A196" s="1">
        <v>44391</v>
      </c>
      <c r="B196">
        <v>2021</v>
      </c>
      <c r="C196" s="1">
        <v>44388</v>
      </c>
      <c r="D196" s="1">
        <v>44389</v>
      </c>
      <c r="E196" t="s">
        <v>37</v>
      </c>
      <c r="F196">
        <v>46</v>
      </c>
      <c r="G196" t="s">
        <v>173</v>
      </c>
    </row>
    <row r="197" spans="1:7" x14ac:dyDescent="0.25">
      <c r="A197" s="1">
        <v>44392</v>
      </c>
      <c r="B197">
        <v>2021</v>
      </c>
      <c r="C197" s="1">
        <v>44388</v>
      </c>
      <c r="D197" s="1">
        <v>44389</v>
      </c>
      <c r="E197" t="s">
        <v>37</v>
      </c>
      <c r="F197">
        <v>46</v>
      </c>
      <c r="G197" t="s">
        <v>174</v>
      </c>
    </row>
    <row r="198" spans="1:7" x14ac:dyDescent="0.25">
      <c r="A198" s="1">
        <v>44393</v>
      </c>
      <c r="B198">
        <v>2021</v>
      </c>
      <c r="C198" s="1">
        <v>44388</v>
      </c>
      <c r="D198" s="1">
        <v>44389</v>
      </c>
      <c r="E198" t="s">
        <v>37</v>
      </c>
      <c r="F198">
        <v>46</v>
      </c>
      <c r="G198" t="s">
        <v>168</v>
      </c>
    </row>
    <row r="199" spans="1:7" x14ac:dyDescent="0.25">
      <c r="A199" s="1">
        <v>44394</v>
      </c>
      <c r="B199">
        <v>2021</v>
      </c>
      <c r="C199" s="1">
        <v>44388</v>
      </c>
      <c r="D199" s="1">
        <v>44389</v>
      </c>
      <c r="E199" t="s">
        <v>37</v>
      </c>
      <c r="F199">
        <v>46</v>
      </c>
      <c r="G199" t="s">
        <v>169</v>
      </c>
    </row>
    <row r="200" spans="1:7" x14ac:dyDescent="0.25">
      <c r="A200" s="1">
        <v>44395</v>
      </c>
      <c r="B200">
        <v>2021</v>
      </c>
      <c r="C200" s="1">
        <v>44395</v>
      </c>
      <c r="D200" s="1">
        <v>44389</v>
      </c>
      <c r="E200" t="s">
        <v>37</v>
      </c>
      <c r="F200">
        <v>46</v>
      </c>
      <c r="G200" t="s">
        <v>170</v>
      </c>
    </row>
    <row r="201" spans="1:7" x14ac:dyDescent="0.25">
      <c r="A201" s="1">
        <v>44396</v>
      </c>
      <c r="B201">
        <v>2021</v>
      </c>
      <c r="C201" s="1">
        <v>44395</v>
      </c>
      <c r="D201" s="1">
        <v>44396</v>
      </c>
      <c r="E201" t="s">
        <v>38</v>
      </c>
      <c r="F201">
        <v>47</v>
      </c>
      <c r="G201" t="s">
        <v>171</v>
      </c>
    </row>
    <row r="202" spans="1:7" x14ac:dyDescent="0.25">
      <c r="A202" s="1">
        <v>44397</v>
      </c>
      <c r="B202">
        <v>2021</v>
      </c>
      <c r="C202" s="1">
        <v>44395</v>
      </c>
      <c r="D202" s="1">
        <v>44396</v>
      </c>
      <c r="E202" t="s">
        <v>38</v>
      </c>
      <c r="F202">
        <v>47</v>
      </c>
      <c r="G202" t="s">
        <v>172</v>
      </c>
    </row>
    <row r="203" spans="1:7" x14ac:dyDescent="0.25">
      <c r="A203" s="1">
        <v>44398</v>
      </c>
      <c r="B203">
        <v>2021</v>
      </c>
      <c r="C203" s="1">
        <v>44395</v>
      </c>
      <c r="D203" s="1">
        <v>44396</v>
      </c>
      <c r="E203" t="s">
        <v>38</v>
      </c>
      <c r="F203">
        <v>47</v>
      </c>
      <c r="G203" t="s">
        <v>173</v>
      </c>
    </row>
    <row r="204" spans="1:7" x14ac:dyDescent="0.25">
      <c r="A204" s="1">
        <v>44399</v>
      </c>
      <c r="B204">
        <v>2021</v>
      </c>
      <c r="C204" s="1">
        <v>44395</v>
      </c>
      <c r="D204" s="1">
        <v>44396</v>
      </c>
      <c r="E204" t="s">
        <v>38</v>
      </c>
      <c r="F204">
        <v>47</v>
      </c>
      <c r="G204" t="s">
        <v>174</v>
      </c>
    </row>
    <row r="205" spans="1:7" x14ac:dyDescent="0.25">
      <c r="A205" s="1">
        <v>44400</v>
      </c>
      <c r="B205">
        <v>2021</v>
      </c>
      <c r="C205" s="1">
        <v>44395</v>
      </c>
      <c r="D205" s="1">
        <v>44396</v>
      </c>
      <c r="E205" t="s">
        <v>38</v>
      </c>
      <c r="F205">
        <v>47</v>
      </c>
      <c r="G205" t="s">
        <v>168</v>
      </c>
    </row>
    <row r="206" spans="1:7" x14ac:dyDescent="0.25">
      <c r="A206" s="1">
        <v>44401</v>
      </c>
      <c r="B206">
        <v>2021</v>
      </c>
      <c r="C206" s="1">
        <v>44395</v>
      </c>
      <c r="D206" s="1">
        <v>44396</v>
      </c>
      <c r="E206" t="s">
        <v>38</v>
      </c>
      <c r="F206">
        <v>47</v>
      </c>
      <c r="G206" t="s">
        <v>169</v>
      </c>
    </row>
    <row r="207" spans="1:7" x14ac:dyDescent="0.25">
      <c r="A207" s="1">
        <v>44402</v>
      </c>
      <c r="B207">
        <v>2021</v>
      </c>
      <c r="C207" s="1">
        <v>44402</v>
      </c>
      <c r="D207" s="1">
        <v>44396</v>
      </c>
      <c r="E207" t="s">
        <v>38</v>
      </c>
      <c r="F207">
        <v>47</v>
      </c>
      <c r="G207" t="s">
        <v>170</v>
      </c>
    </row>
    <row r="208" spans="1:7" x14ac:dyDescent="0.25">
      <c r="A208" s="1">
        <v>44403</v>
      </c>
      <c r="B208">
        <v>2021</v>
      </c>
      <c r="C208" s="1">
        <v>44402</v>
      </c>
      <c r="D208" s="1">
        <v>44403</v>
      </c>
      <c r="E208" t="s">
        <v>39</v>
      </c>
      <c r="F208">
        <v>48</v>
      </c>
      <c r="G208" t="s">
        <v>171</v>
      </c>
    </row>
    <row r="209" spans="1:7" x14ac:dyDescent="0.25">
      <c r="A209" s="1">
        <v>44404</v>
      </c>
      <c r="B209">
        <v>2021</v>
      </c>
      <c r="C209" s="1">
        <v>44402</v>
      </c>
      <c r="D209" s="1">
        <v>44403</v>
      </c>
      <c r="E209" t="s">
        <v>39</v>
      </c>
      <c r="F209">
        <v>48</v>
      </c>
      <c r="G209" t="s">
        <v>172</v>
      </c>
    </row>
    <row r="210" spans="1:7" x14ac:dyDescent="0.25">
      <c r="A210" s="1">
        <v>44405</v>
      </c>
      <c r="B210">
        <v>2021</v>
      </c>
      <c r="C210" s="1">
        <v>44402</v>
      </c>
      <c r="D210" s="1">
        <v>44403</v>
      </c>
      <c r="E210" t="s">
        <v>39</v>
      </c>
      <c r="F210">
        <v>48</v>
      </c>
      <c r="G210" t="s">
        <v>173</v>
      </c>
    </row>
    <row r="211" spans="1:7" x14ac:dyDescent="0.25">
      <c r="A211" s="1">
        <v>44406</v>
      </c>
      <c r="B211">
        <v>2021</v>
      </c>
      <c r="C211" s="1">
        <v>44402</v>
      </c>
      <c r="D211" s="1">
        <v>44403</v>
      </c>
      <c r="E211" t="s">
        <v>39</v>
      </c>
      <c r="F211">
        <v>48</v>
      </c>
      <c r="G211" t="s">
        <v>174</v>
      </c>
    </row>
    <row r="212" spans="1:7" x14ac:dyDescent="0.25">
      <c r="A212" s="1">
        <v>44407</v>
      </c>
      <c r="B212">
        <v>2021</v>
      </c>
      <c r="C212" s="1">
        <v>44402</v>
      </c>
      <c r="D212" s="1">
        <v>44403</v>
      </c>
      <c r="E212" t="s">
        <v>39</v>
      </c>
      <c r="F212">
        <v>48</v>
      </c>
      <c r="G212" t="s">
        <v>168</v>
      </c>
    </row>
    <row r="213" spans="1:7" x14ac:dyDescent="0.25">
      <c r="A213" s="1">
        <v>44408</v>
      </c>
      <c r="B213">
        <v>2021</v>
      </c>
      <c r="C213" s="1">
        <v>44402</v>
      </c>
      <c r="D213" s="1">
        <v>44403</v>
      </c>
      <c r="E213" t="s">
        <v>39</v>
      </c>
      <c r="F213">
        <v>48</v>
      </c>
      <c r="G213" t="s">
        <v>169</v>
      </c>
    </row>
    <row r="214" spans="1:7" x14ac:dyDescent="0.25">
      <c r="A214" s="1">
        <v>44409</v>
      </c>
      <c r="B214">
        <v>2021</v>
      </c>
      <c r="C214" s="1">
        <v>44409</v>
      </c>
      <c r="D214" s="1">
        <v>44403</v>
      </c>
      <c r="E214" t="s">
        <v>39</v>
      </c>
      <c r="F214">
        <v>48</v>
      </c>
      <c r="G214" t="s">
        <v>170</v>
      </c>
    </row>
    <row r="215" spans="1:7" x14ac:dyDescent="0.25">
      <c r="A215" s="1">
        <v>44410</v>
      </c>
      <c r="B215">
        <v>2021</v>
      </c>
      <c r="C215" s="1">
        <v>44409</v>
      </c>
      <c r="D215" s="1">
        <v>44410</v>
      </c>
      <c r="E215" t="s">
        <v>40</v>
      </c>
      <c r="F215">
        <v>49</v>
      </c>
      <c r="G215" t="s">
        <v>171</v>
      </c>
    </row>
    <row r="216" spans="1:7" x14ac:dyDescent="0.25">
      <c r="A216" s="1">
        <v>44411</v>
      </c>
      <c r="B216">
        <v>2021</v>
      </c>
      <c r="C216" s="1">
        <v>44409</v>
      </c>
      <c r="D216" s="1">
        <v>44410</v>
      </c>
      <c r="E216" t="s">
        <v>40</v>
      </c>
      <c r="F216">
        <v>49</v>
      </c>
      <c r="G216" t="s">
        <v>172</v>
      </c>
    </row>
    <row r="217" spans="1:7" x14ac:dyDescent="0.25">
      <c r="A217" s="1">
        <v>44412</v>
      </c>
      <c r="B217">
        <v>2021</v>
      </c>
      <c r="C217" s="1">
        <v>44409</v>
      </c>
      <c r="D217" s="1">
        <v>44410</v>
      </c>
      <c r="E217" t="s">
        <v>40</v>
      </c>
      <c r="F217">
        <v>49</v>
      </c>
      <c r="G217" t="s">
        <v>173</v>
      </c>
    </row>
    <row r="218" spans="1:7" x14ac:dyDescent="0.25">
      <c r="A218" s="1">
        <v>44413</v>
      </c>
      <c r="B218">
        <v>2021</v>
      </c>
      <c r="C218" s="1">
        <v>44409</v>
      </c>
      <c r="D218" s="1">
        <v>44410</v>
      </c>
      <c r="E218" t="s">
        <v>40</v>
      </c>
      <c r="F218">
        <v>49</v>
      </c>
      <c r="G218" t="s">
        <v>174</v>
      </c>
    </row>
    <row r="219" spans="1:7" x14ac:dyDescent="0.25">
      <c r="A219" s="1">
        <v>44414</v>
      </c>
      <c r="B219">
        <v>2021</v>
      </c>
      <c r="C219" s="1">
        <v>44409</v>
      </c>
      <c r="D219" s="1">
        <v>44410</v>
      </c>
      <c r="E219" t="s">
        <v>40</v>
      </c>
      <c r="F219">
        <v>49</v>
      </c>
      <c r="G219" t="s">
        <v>168</v>
      </c>
    </row>
    <row r="220" spans="1:7" x14ac:dyDescent="0.25">
      <c r="A220" s="1">
        <v>44415</v>
      </c>
      <c r="B220">
        <v>2021</v>
      </c>
      <c r="C220" s="1">
        <v>44409</v>
      </c>
      <c r="D220" s="1">
        <v>44410</v>
      </c>
      <c r="E220" t="s">
        <v>40</v>
      </c>
      <c r="F220">
        <v>49</v>
      </c>
      <c r="G220" t="s">
        <v>169</v>
      </c>
    </row>
    <row r="221" spans="1:7" x14ac:dyDescent="0.25">
      <c r="A221" s="1">
        <v>44416</v>
      </c>
      <c r="B221">
        <v>2021</v>
      </c>
      <c r="C221" s="1">
        <v>44416</v>
      </c>
      <c r="D221" s="1">
        <v>44410</v>
      </c>
      <c r="E221" t="s">
        <v>40</v>
      </c>
      <c r="F221">
        <v>49</v>
      </c>
      <c r="G221" t="s">
        <v>170</v>
      </c>
    </row>
    <row r="222" spans="1:7" x14ac:dyDescent="0.25">
      <c r="A222" s="1">
        <v>44417</v>
      </c>
      <c r="B222">
        <v>2021</v>
      </c>
      <c r="C222" s="1">
        <v>44416</v>
      </c>
      <c r="D222" s="1">
        <v>44417</v>
      </c>
      <c r="E222" t="s">
        <v>41</v>
      </c>
      <c r="F222">
        <v>50</v>
      </c>
      <c r="G222" t="s">
        <v>171</v>
      </c>
    </row>
    <row r="223" spans="1:7" x14ac:dyDescent="0.25">
      <c r="A223" s="1">
        <v>44418</v>
      </c>
      <c r="B223">
        <v>2021</v>
      </c>
      <c r="C223" s="1">
        <v>44416</v>
      </c>
      <c r="D223" s="1">
        <v>44417</v>
      </c>
      <c r="E223" t="s">
        <v>41</v>
      </c>
      <c r="F223">
        <v>50</v>
      </c>
      <c r="G223" t="s">
        <v>172</v>
      </c>
    </row>
    <row r="224" spans="1:7" x14ac:dyDescent="0.25">
      <c r="A224" s="1">
        <v>44419</v>
      </c>
      <c r="B224">
        <v>2021</v>
      </c>
      <c r="C224" s="1">
        <v>44416</v>
      </c>
      <c r="D224" s="1">
        <v>44417</v>
      </c>
      <c r="E224" t="s">
        <v>41</v>
      </c>
      <c r="F224">
        <v>50</v>
      </c>
      <c r="G224" t="s">
        <v>173</v>
      </c>
    </row>
    <row r="225" spans="1:7" x14ac:dyDescent="0.25">
      <c r="A225" s="1">
        <v>44420</v>
      </c>
      <c r="B225">
        <v>2021</v>
      </c>
      <c r="C225" s="1">
        <v>44416</v>
      </c>
      <c r="D225" s="1">
        <v>44417</v>
      </c>
      <c r="E225" t="s">
        <v>41</v>
      </c>
      <c r="F225">
        <v>50</v>
      </c>
      <c r="G225" t="s">
        <v>174</v>
      </c>
    </row>
    <row r="226" spans="1:7" x14ac:dyDescent="0.25">
      <c r="A226" s="1">
        <v>44421</v>
      </c>
      <c r="B226">
        <v>2021</v>
      </c>
      <c r="C226" s="1">
        <v>44416</v>
      </c>
      <c r="D226" s="1">
        <v>44417</v>
      </c>
      <c r="E226" t="s">
        <v>41</v>
      </c>
      <c r="F226">
        <v>50</v>
      </c>
      <c r="G226" t="s">
        <v>168</v>
      </c>
    </row>
    <row r="227" spans="1:7" x14ac:dyDescent="0.25">
      <c r="A227" s="1">
        <v>44422</v>
      </c>
      <c r="B227">
        <v>2021</v>
      </c>
      <c r="C227" s="1">
        <v>44416</v>
      </c>
      <c r="D227" s="1">
        <v>44417</v>
      </c>
      <c r="E227" t="s">
        <v>41</v>
      </c>
      <c r="F227">
        <v>50</v>
      </c>
      <c r="G227" t="s">
        <v>169</v>
      </c>
    </row>
    <row r="228" spans="1:7" x14ac:dyDescent="0.25">
      <c r="A228" s="1">
        <v>44423</v>
      </c>
      <c r="B228">
        <v>2021</v>
      </c>
      <c r="C228" s="1">
        <v>44423</v>
      </c>
      <c r="D228" s="1">
        <v>44417</v>
      </c>
      <c r="E228" t="s">
        <v>41</v>
      </c>
      <c r="F228">
        <v>50</v>
      </c>
      <c r="G228" t="s">
        <v>170</v>
      </c>
    </row>
    <row r="229" spans="1:7" x14ac:dyDescent="0.25">
      <c r="A229" s="1">
        <v>44424</v>
      </c>
      <c r="B229">
        <v>2021</v>
      </c>
      <c r="C229" s="1">
        <v>44423</v>
      </c>
      <c r="D229" s="1">
        <v>44424</v>
      </c>
      <c r="E229" t="s">
        <v>42</v>
      </c>
      <c r="F229">
        <v>51</v>
      </c>
      <c r="G229" t="s">
        <v>171</v>
      </c>
    </row>
    <row r="230" spans="1:7" x14ac:dyDescent="0.25">
      <c r="A230" s="1">
        <v>44425</v>
      </c>
      <c r="B230">
        <v>2021</v>
      </c>
      <c r="C230" s="1">
        <v>44423</v>
      </c>
      <c r="D230" s="1">
        <v>44424</v>
      </c>
      <c r="E230" t="s">
        <v>42</v>
      </c>
      <c r="F230">
        <v>51</v>
      </c>
      <c r="G230" t="s">
        <v>172</v>
      </c>
    </row>
    <row r="231" spans="1:7" x14ac:dyDescent="0.25">
      <c r="A231" s="1">
        <v>44426</v>
      </c>
      <c r="B231">
        <v>2021</v>
      </c>
      <c r="C231" s="1">
        <v>44423</v>
      </c>
      <c r="D231" s="1">
        <v>44424</v>
      </c>
      <c r="E231" t="s">
        <v>42</v>
      </c>
      <c r="F231">
        <v>51</v>
      </c>
      <c r="G231" t="s">
        <v>173</v>
      </c>
    </row>
    <row r="232" spans="1:7" x14ac:dyDescent="0.25">
      <c r="A232" s="1">
        <v>44427</v>
      </c>
      <c r="B232">
        <v>2021</v>
      </c>
      <c r="C232" s="1">
        <v>44423</v>
      </c>
      <c r="D232" s="1">
        <v>44424</v>
      </c>
      <c r="E232" t="s">
        <v>42</v>
      </c>
      <c r="F232">
        <v>51</v>
      </c>
      <c r="G232" t="s">
        <v>174</v>
      </c>
    </row>
    <row r="233" spans="1:7" x14ac:dyDescent="0.25">
      <c r="A233" s="1">
        <v>44428</v>
      </c>
      <c r="B233">
        <v>2021</v>
      </c>
      <c r="C233" s="1">
        <v>44423</v>
      </c>
      <c r="D233" s="1">
        <v>44424</v>
      </c>
      <c r="E233" t="s">
        <v>42</v>
      </c>
      <c r="F233">
        <v>51</v>
      </c>
      <c r="G233" t="s">
        <v>168</v>
      </c>
    </row>
    <row r="234" spans="1:7" x14ac:dyDescent="0.25">
      <c r="A234" s="1">
        <v>44429</v>
      </c>
      <c r="B234">
        <v>2021</v>
      </c>
      <c r="C234" s="1">
        <v>44423</v>
      </c>
      <c r="D234" s="1">
        <v>44424</v>
      </c>
      <c r="E234" t="s">
        <v>42</v>
      </c>
      <c r="F234">
        <v>51</v>
      </c>
      <c r="G234" t="s">
        <v>169</v>
      </c>
    </row>
    <row r="235" spans="1:7" x14ac:dyDescent="0.25">
      <c r="A235" s="1">
        <v>44430</v>
      </c>
      <c r="B235">
        <v>2021</v>
      </c>
      <c r="C235" s="1">
        <v>44430</v>
      </c>
      <c r="D235" s="1">
        <v>44424</v>
      </c>
      <c r="E235" t="s">
        <v>42</v>
      </c>
      <c r="F235">
        <v>51</v>
      </c>
      <c r="G235" t="s">
        <v>170</v>
      </c>
    </row>
    <row r="236" spans="1:7" x14ac:dyDescent="0.25">
      <c r="A236" s="1">
        <v>44431</v>
      </c>
      <c r="B236">
        <v>2021</v>
      </c>
      <c r="C236" s="1">
        <v>44430</v>
      </c>
      <c r="D236" s="1">
        <v>44431</v>
      </c>
      <c r="E236" t="s">
        <v>43</v>
      </c>
      <c r="F236">
        <v>52</v>
      </c>
      <c r="G236" t="s">
        <v>171</v>
      </c>
    </row>
    <row r="237" spans="1:7" x14ac:dyDescent="0.25">
      <c r="A237" s="1">
        <v>44432</v>
      </c>
      <c r="B237">
        <v>2021</v>
      </c>
      <c r="C237" s="1">
        <v>44430</v>
      </c>
      <c r="D237" s="1">
        <v>44431</v>
      </c>
      <c r="E237" t="s">
        <v>43</v>
      </c>
      <c r="F237">
        <v>52</v>
      </c>
      <c r="G237" t="s">
        <v>172</v>
      </c>
    </row>
    <row r="238" spans="1:7" x14ac:dyDescent="0.25">
      <c r="A238" s="1">
        <v>44433</v>
      </c>
      <c r="B238">
        <v>2021</v>
      </c>
      <c r="C238" s="1">
        <v>44430</v>
      </c>
      <c r="D238" s="1">
        <v>44431</v>
      </c>
      <c r="E238" t="s">
        <v>43</v>
      </c>
      <c r="F238">
        <v>52</v>
      </c>
      <c r="G238" t="s">
        <v>173</v>
      </c>
    </row>
    <row r="239" spans="1:7" x14ac:dyDescent="0.25">
      <c r="A239" s="1">
        <v>44434</v>
      </c>
      <c r="B239">
        <v>2021</v>
      </c>
      <c r="C239" s="1">
        <v>44430</v>
      </c>
      <c r="D239" s="1">
        <v>44431</v>
      </c>
      <c r="E239" t="s">
        <v>43</v>
      </c>
      <c r="F239">
        <v>52</v>
      </c>
      <c r="G239" t="s">
        <v>174</v>
      </c>
    </row>
    <row r="240" spans="1:7" x14ac:dyDescent="0.25">
      <c r="A240" s="1">
        <v>44435</v>
      </c>
      <c r="B240">
        <v>2021</v>
      </c>
      <c r="C240" s="1">
        <v>44430</v>
      </c>
      <c r="D240" s="1">
        <v>44431</v>
      </c>
      <c r="E240" t="s">
        <v>43</v>
      </c>
      <c r="F240">
        <v>52</v>
      </c>
      <c r="G240" t="s">
        <v>168</v>
      </c>
    </row>
    <row r="241" spans="1:7" x14ac:dyDescent="0.25">
      <c r="A241" s="1">
        <v>44436</v>
      </c>
      <c r="B241">
        <v>2021</v>
      </c>
      <c r="C241" s="1">
        <v>44430</v>
      </c>
      <c r="D241" s="1">
        <v>44431</v>
      </c>
      <c r="E241" t="s">
        <v>43</v>
      </c>
      <c r="F241">
        <v>52</v>
      </c>
      <c r="G241" t="s">
        <v>169</v>
      </c>
    </row>
    <row r="242" spans="1:7" x14ac:dyDescent="0.25">
      <c r="A242" s="1">
        <v>44437</v>
      </c>
      <c r="B242">
        <v>2021</v>
      </c>
      <c r="C242" s="1">
        <v>44437</v>
      </c>
      <c r="D242" s="1">
        <v>44431</v>
      </c>
      <c r="E242" t="s">
        <v>43</v>
      </c>
      <c r="F242">
        <v>52</v>
      </c>
      <c r="G242" t="s">
        <v>170</v>
      </c>
    </row>
    <row r="243" spans="1:7" x14ac:dyDescent="0.25">
      <c r="A243" s="1">
        <v>44438</v>
      </c>
      <c r="B243">
        <v>2021</v>
      </c>
      <c r="C243" s="1">
        <v>44437</v>
      </c>
      <c r="D243" s="1">
        <v>44438</v>
      </c>
      <c r="E243" t="s">
        <v>44</v>
      </c>
      <c r="F243">
        <v>1</v>
      </c>
      <c r="G243" t="s">
        <v>171</v>
      </c>
    </row>
    <row r="244" spans="1:7" x14ac:dyDescent="0.25">
      <c r="A244" s="1">
        <v>44439</v>
      </c>
      <c r="B244">
        <v>2021</v>
      </c>
      <c r="C244" s="1">
        <v>44437</v>
      </c>
      <c r="D244" s="1">
        <v>44438</v>
      </c>
      <c r="E244" t="s">
        <v>44</v>
      </c>
      <c r="F244">
        <v>1</v>
      </c>
      <c r="G244" t="s">
        <v>172</v>
      </c>
    </row>
    <row r="245" spans="1:7" x14ac:dyDescent="0.25">
      <c r="A245" s="1">
        <v>44440</v>
      </c>
      <c r="B245">
        <v>2021</v>
      </c>
      <c r="C245" s="1">
        <v>44437</v>
      </c>
      <c r="D245" s="1">
        <v>44438</v>
      </c>
      <c r="E245" t="s">
        <v>44</v>
      </c>
      <c r="F245">
        <v>1</v>
      </c>
      <c r="G245" t="s">
        <v>173</v>
      </c>
    </row>
    <row r="246" spans="1:7" x14ac:dyDescent="0.25">
      <c r="A246" s="1">
        <v>44441</v>
      </c>
      <c r="B246">
        <v>2021</v>
      </c>
      <c r="C246" s="1">
        <v>44437</v>
      </c>
      <c r="D246" s="1">
        <v>44438</v>
      </c>
      <c r="E246" t="s">
        <v>44</v>
      </c>
      <c r="F246">
        <v>1</v>
      </c>
      <c r="G246" t="s">
        <v>174</v>
      </c>
    </row>
    <row r="247" spans="1:7" x14ac:dyDescent="0.25">
      <c r="A247" s="1">
        <v>44442</v>
      </c>
      <c r="B247">
        <v>2021</v>
      </c>
      <c r="C247" s="1">
        <v>44437</v>
      </c>
      <c r="D247" s="1">
        <v>44438</v>
      </c>
      <c r="E247" t="s">
        <v>44</v>
      </c>
      <c r="F247">
        <v>1</v>
      </c>
      <c r="G247" t="s">
        <v>168</v>
      </c>
    </row>
    <row r="248" spans="1:7" x14ac:dyDescent="0.25">
      <c r="A248" s="1">
        <v>44443</v>
      </c>
      <c r="B248">
        <v>2021</v>
      </c>
      <c r="C248" s="1">
        <v>44437</v>
      </c>
      <c r="D248" s="1">
        <v>44438</v>
      </c>
      <c r="E248" t="s">
        <v>44</v>
      </c>
      <c r="F248">
        <v>1</v>
      </c>
      <c r="G248" t="s">
        <v>169</v>
      </c>
    </row>
    <row r="249" spans="1:7" x14ac:dyDescent="0.25">
      <c r="A249" s="1">
        <v>44444</v>
      </c>
      <c r="B249">
        <v>2021</v>
      </c>
      <c r="C249" s="1">
        <v>44444</v>
      </c>
      <c r="D249" s="1">
        <v>44438</v>
      </c>
      <c r="E249" t="s">
        <v>44</v>
      </c>
      <c r="F249">
        <v>1</v>
      </c>
      <c r="G249" t="s">
        <v>170</v>
      </c>
    </row>
    <row r="250" spans="1:7" x14ac:dyDescent="0.25">
      <c r="A250" s="1">
        <v>44445</v>
      </c>
      <c r="B250">
        <v>2021</v>
      </c>
      <c r="C250" s="1">
        <v>44444</v>
      </c>
      <c r="D250" s="1">
        <v>44445</v>
      </c>
      <c r="E250" t="s">
        <v>45</v>
      </c>
      <c r="F250">
        <v>2</v>
      </c>
      <c r="G250" t="s">
        <v>171</v>
      </c>
    </row>
    <row r="251" spans="1:7" x14ac:dyDescent="0.25">
      <c r="A251" s="1">
        <v>44446</v>
      </c>
      <c r="B251">
        <v>2021</v>
      </c>
      <c r="C251" s="1">
        <v>44444</v>
      </c>
      <c r="D251" s="1">
        <v>44445</v>
      </c>
      <c r="E251" t="s">
        <v>45</v>
      </c>
      <c r="F251">
        <v>2</v>
      </c>
      <c r="G251" t="s">
        <v>172</v>
      </c>
    </row>
    <row r="252" spans="1:7" x14ac:dyDescent="0.25">
      <c r="A252" s="1">
        <v>44447</v>
      </c>
      <c r="B252">
        <v>2021</v>
      </c>
      <c r="C252" s="1">
        <v>44444</v>
      </c>
      <c r="D252" s="1">
        <v>44445</v>
      </c>
      <c r="E252" t="s">
        <v>45</v>
      </c>
      <c r="F252">
        <v>2</v>
      </c>
      <c r="G252" t="s">
        <v>173</v>
      </c>
    </row>
    <row r="253" spans="1:7" x14ac:dyDescent="0.25">
      <c r="A253" s="1">
        <v>44448</v>
      </c>
      <c r="B253">
        <v>2021</v>
      </c>
      <c r="C253" s="1">
        <v>44444</v>
      </c>
      <c r="D253" s="1">
        <v>44445</v>
      </c>
      <c r="E253" t="s">
        <v>45</v>
      </c>
      <c r="F253">
        <v>2</v>
      </c>
      <c r="G253" t="s">
        <v>174</v>
      </c>
    </row>
    <row r="254" spans="1:7" x14ac:dyDescent="0.25">
      <c r="A254" s="1">
        <v>44449</v>
      </c>
      <c r="B254">
        <v>2021</v>
      </c>
      <c r="C254" s="1">
        <v>44444</v>
      </c>
      <c r="D254" s="1">
        <v>44445</v>
      </c>
      <c r="E254" t="s">
        <v>45</v>
      </c>
      <c r="F254">
        <v>2</v>
      </c>
      <c r="G254" t="s">
        <v>168</v>
      </c>
    </row>
    <row r="255" spans="1:7" x14ac:dyDescent="0.25">
      <c r="A255" s="1">
        <v>44450</v>
      </c>
      <c r="B255">
        <v>2021</v>
      </c>
      <c r="C255" s="1">
        <v>44444</v>
      </c>
      <c r="D255" s="1">
        <v>44445</v>
      </c>
      <c r="E255" t="s">
        <v>45</v>
      </c>
      <c r="F255">
        <v>2</v>
      </c>
      <c r="G255" t="s">
        <v>169</v>
      </c>
    </row>
    <row r="256" spans="1:7" x14ac:dyDescent="0.25">
      <c r="A256" s="1">
        <v>44451</v>
      </c>
      <c r="B256">
        <v>2021</v>
      </c>
      <c r="C256" s="1">
        <v>44451</v>
      </c>
      <c r="D256" s="1">
        <v>44445</v>
      </c>
      <c r="E256" t="s">
        <v>45</v>
      </c>
      <c r="F256">
        <v>2</v>
      </c>
      <c r="G256" t="s">
        <v>170</v>
      </c>
    </row>
    <row r="257" spans="1:7" x14ac:dyDescent="0.25">
      <c r="A257" s="1">
        <v>44452</v>
      </c>
      <c r="B257">
        <v>2021</v>
      </c>
      <c r="C257" s="1">
        <v>44451</v>
      </c>
      <c r="D257" s="1">
        <v>44452</v>
      </c>
      <c r="E257" t="s">
        <v>46</v>
      </c>
      <c r="F257">
        <v>3</v>
      </c>
      <c r="G257" t="s">
        <v>171</v>
      </c>
    </row>
    <row r="258" spans="1:7" x14ac:dyDescent="0.25">
      <c r="A258" s="1">
        <v>44453</v>
      </c>
      <c r="B258">
        <v>2021</v>
      </c>
      <c r="C258" s="1">
        <v>44451</v>
      </c>
      <c r="D258" s="1">
        <v>44452</v>
      </c>
      <c r="E258" t="s">
        <v>46</v>
      </c>
      <c r="F258">
        <v>3</v>
      </c>
      <c r="G258" t="s">
        <v>172</v>
      </c>
    </row>
    <row r="259" spans="1:7" x14ac:dyDescent="0.25">
      <c r="A259" s="1">
        <v>44454</v>
      </c>
      <c r="B259">
        <v>2021</v>
      </c>
      <c r="C259" s="1">
        <v>44451</v>
      </c>
      <c r="D259" s="1">
        <v>44452</v>
      </c>
      <c r="E259" t="s">
        <v>46</v>
      </c>
      <c r="F259">
        <v>3</v>
      </c>
      <c r="G259" t="s">
        <v>173</v>
      </c>
    </row>
    <row r="260" spans="1:7" x14ac:dyDescent="0.25">
      <c r="A260" s="1">
        <v>44455</v>
      </c>
      <c r="B260">
        <v>2021</v>
      </c>
      <c r="C260" s="1">
        <v>44451</v>
      </c>
      <c r="D260" s="1">
        <v>44452</v>
      </c>
      <c r="E260" t="s">
        <v>46</v>
      </c>
      <c r="F260">
        <v>3</v>
      </c>
      <c r="G260" t="s">
        <v>174</v>
      </c>
    </row>
    <row r="261" spans="1:7" x14ac:dyDescent="0.25">
      <c r="A261" s="1">
        <v>44456</v>
      </c>
      <c r="B261">
        <v>2021</v>
      </c>
      <c r="C261" s="1">
        <v>44451</v>
      </c>
      <c r="D261" s="1">
        <v>44452</v>
      </c>
      <c r="E261" t="s">
        <v>46</v>
      </c>
      <c r="F261">
        <v>3</v>
      </c>
      <c r="G261" t="s">
        <v>168</v>
      </c>
    </row>
    <row r="262" spans="1:7" x14ac:dyDescent="0.25">
      <c r="A262" s="1">
        <v>44457</v>
      </c>
      <c r="B262">
        <v>2021</v>
      </c>
      <c r="C262" s="1">
        <v>44451</v>
      </c>
      <c r="D262" s="1">
        <v>44452</v>
      </c>
      <c r="E262" t="s">
        <v>46</v>
      </c>
      <c r="F262">
        <v>3</v>
      </c>
      <c r="G262" t="s">
        <v>169</v>
      </c>
    </row>
    <row r="263" spans="1:7" x14ac:dyDescent="0.25">
      <c r="A263" s="1">
        <v>44458</v>
      </c>
      <c r="B263">
        <v>2021</v>
      </c>
      <c r="C263" s="1">
        <v>44458</v>
      </c>
      <c r="D263" s="1">
        <v>44452</v>
      </c>
      <c r="E263" t="s">
        <v>46</v>
      </c>
      <c r="F263">
        <v>3</v>
      </c>
      <c r="G263" t="s">
        <v>170</v>
      </c>
    </row>
    <row r="264" spans="1:7" x14ac:dyDescent="0.25">
      <c r="A264" s="1">
        <v>44459</v>
      </c>
      <c r="B264">
        <v>2021</v>
      </c>
      <c r="C264" s="1">
        <v>44458</v>
      </c>
      <c r="D264" s="1">
        <v>44459</v>
      </c>
      <c r="E264" t="s">
        <v>47</v>
      </c>
      <c r="F264">
        <v>4</v>
      </c>
      <c r="G264" t="s">
        <v>171</v>
      </c>
    </row>
    <row r="265" spans="1:7" x14ac:dyDescent="0.25">
      <c r="A265" s="1">
        <v>44460</v>
      </c>
      <c r="B265">
        <v>2021</v>
      </c>
      <c r="C265" s="1">
        <v>44458</v>
      </c>
      <c r="D265" s="1">
        <v>44459</v>
      </c>
      <c r="E265" t="s">
        <v>47</v>
      </c>
      <c r="F265">
        <v>4</v>
      </c>
      <c r="G265" t="s">
        <v>172</v>
      </c>
    </row>
    <row r="266" spans="1:7" x14ac:dyDescent="0.25">
      <c r="A266" s="1">
        <v>44461</v>
      </c>
      <c r="B266">
        <v>2021</v>
      </c>
      <c r="C266" s="1">
        <v>44458</v>
      </c>
      <c r="D266" s="1">
        <v>44459</v>
      </c>
      <c r="E266" t="s">
        <v>47</v>
      </c>
      <c r="F266">
        <v>4</v>
      </c>
      <c r="G266" t="s">
        <v>173</v>
      </c>
    </row>
    <row r="267" spans="1:7" x14ac:dyDescent="0.25">
      <c r="A267" s="1">
        <v>44462</v>
      </c>
      <c r="B267">
        <v>2021</v>
      </c>
      <c r="C267" s="1">
        <v>44458</v>
      </c>
      <c r="D267" s="1">
        <v>44459</v>
      </c>
      <c r="E267" t="s">
        <v>47</v>
      </c>
      <c r="F267">
        <v>4</v>
      </c>
      <c r="G267" t="s">
        <v>174</v>
      </c>
    </row>
    <row r="268" spans="1:7" x14ac:dyDescent="0.25">
      <c r="A268" s="1">
        <v>44463</v>
      </c>
      <c r="B268">
        <v>2021</v>
      </c>
      <c r="C268" s="1">
        <v>44458</v>
      </c>
      <c r="D268" s="1">
        <v>44459</v>
      </c>
      <c r="E268" t="s">
        <v>47</v>
      </c>
      <c r="F268">
        <v>4</v>
      </c>
      <c r="G268" t="s">
        <v>168</v>
      </c>
    </row>
    <row r="269" spans="1:7" x14ac:dyDescent="0.25">
      <c r="A269" s="1">
        <v>44464</v>
      </c>
      <c r="B269">
        <v>2021</v>
      </c>
      <c r="C269" s="1">
        <v>44458</v>
      </c>
      <c r="D269" s="1">
        <v>44459</v>
      </c>
      <c r="E269" t="s">
        <v>47</v>
      </c>
      <c r="F269">
        <v>4</v>
      </c>
      <c r="G269" t="s">
        <v>169</v>
      </c>
    </row>
    <row r="270" spans="1:7" x14ac:dyDescent="0.25">
      <c r="A270" s="1">
        <v>44465</v>
      </c>
      <c r="B270">
        <v>2021</v>
      </c>
      <c r="C270" s="1">
        <v>44465</v>
      </c>
      <c r="D270" s="1">
        <v>44459</v>
      </c>
      <c r="E270" t="s">
        <v>47</v>
      </c>
      <c r="F270">
        <v>4</v>
      </c>
      <c r="G270" t="s">
        <v>170</v>
      </c>
    </row>
    <row r="271" spans="1:7" x14ac:dyDescent="0.25">
      <c r="A271" s="1">
        <v>44466</v>
      </c>
      <c r="B271">
        <v>2021</v>
      </c>
      <c r="C271" s="1">
        <v>44465</v>
      </c>
      <c r="D271" s="1">
        <v>44466</v>
      </c>
      <c r="E271" t="s">
        <v>48</v>
      </c>
      <c r="F271">
        <v>5</v>
      </c>
      <c r="G271" t="s">
        <v>171</v>
      </c>
    </row>
    <row r="272" spans="1:7" x14ac:dyDescent="0.25">
      <c r="A272" s="1">
        <v>44467</v>
      </c>
      <c r="B272">
        <v>2021</v>
      </c>
      <c r="C272" s="1">
        <v>44465</v>
      </c>
      <c r="D272" s="1">
        <v>44466</v>
      </c>
      <c r="E272" t="s">
        <v>48</v>
      </c>
      <c r="F272">
        <v>5</v>
      </c>
      <c r="G272" t="s">
        <v>172</v>
      </c>
    </row>
    <row r="273" spans="1:7" x14ac:dyDescent="0.25">
      <c r="A273" s="1">
        <v>44468</v>
      </c>
      <c r="B273">
        <v>2021</v>
      </c>
      <c r="C273" s="1">
        <v>44465</v>
      </c>
      <c r="D273" s="1">
        <v>44466</v>
      </c>
      <c r="E273" t="s">
        <v>48</v>
      </c>
      <c r="F273">
        <v>5</v>
      </c>
      <c r="G273" t="s">
        <v>173</v>
      </c>
    </row>
    <row r="274" spans="1:7" x14ac:dyDescent="0.25">
      <c r="A274" s="1">
        <v>44469</v>
      </c>
      <c r="B274">
        <v>2021</v>
      </c>
      <c r="C274" s="1">
        <v>44465</v>
      </c>
      <c r="D274" s="1">
        <v>44466</v>
      </c>
      <c r="E274" t="s">
        <v>48</v>
      </c>
      <c r="F274">
        <v>5</v>
      </c>
      <c r="G274" t="s">
        <v>174</v>
      </c>
    </row>
    <row r="275" spans="1:7" x14ac:dyDescent="0.25">
      <c r="A275" s="1">
        <v>44470</v>
      </c>
      <c r="B275">
        <v>2021</v>
      </c>
      <c r="C275" s="1">
        <v>44465</v>
      </c>
      <c r="D275" s="1">
        <v>44466</v>
      </c>
      <c r="E275" t="s">
        <v>48</v>
      </c>
      <c r="F275">
        <v>5</v>
      </c>
      <c r="G275" t="s">
        <v>168</v>
      </c>
    </row>
    <row r="276" spans="1:7" x14ac:dyDescent="0.25">
      <c r="A276" s="1">
        <v>44471</v>
      </c>
      <c r="B276">
        <v>2021</v>
      </c>
      <c r="C276" s="1">
        <v>44465</v>
      </c>
      <c r="D276" s="1">
        <v>44466</v>
      </c>
      <c r="E276" t="s">
        <v>48</v>
      </c>
      <c r="F276">
        <v>5</v>
      </c>
      <c r="G276" t="s">
        <v>169</v>
      </c>
    </row>
    <row r="277" spans="1:7" x14ac:dyDescent="0.25">
      <c r="A277" s="1">
        <v>44472</v>
      </c>
      <c r="B277">
        <v>2021</v>
      </c>
      <c r="C277" s="1">
        <v>44472</v>
      </c>
      <c r="D277" s="1">
        <v>44466</v>
      </c>
      <c r="E277" t="s">
        <v>48</v>
      </c>
      <c r="F277">
        <v>5</v>
      </c>
      <c r="G277" t="s">
        <v>170</v>
      </c>
    </row>
    <row r="278" spans="1:7" x14ac:dyDescent="0.25">
      <c r="A278" s="1">
        <v>44473</v>
      </c>
      <c r="B278">
        <v>2021</v>
      </c>
      <c r="C278" s="1">
        <v>44472</v>
      </c>
      <c r="D278" s="1">
        <v>44473</v>
      </c>
      <c r="E278" t="s">
        <v>49</v>
      </c>
      <c r="F278">
        <v>6</v>
      </c>
      <c r="G278" t="s">
        <v>171</v>
      </c>
    </row>
    <row r="279" spans="1:7" x14ac:dyDescent="0.25">
      <c r="A279" s="1">
        <v>44474</v>
      </c>
      <c r="B279">
        <v>2021</v>
      </c>
      <c r="C279" s="1">
        <v>44472</v>
      </c>
      <c r="D279" s="1">
        <v>44473</v>
      </c>
      <c r="E279" t="s">
        <v>49</v>
      </c>
      <c r="F279">
        <v>6</v>
      </c>
      <c r="G279" t="s">
        <v>172</v>
      </c>
    </row>
    <row r="280" spans="1:7" x14ac:dyDescent="0.25">
      <c r="A280" s="1">
        <v>44475</v>
      </c>
      <c r="B280">
        <v>2021</v>
      </c>
      <c r="C280" s="1">
        <v>44472</v>
      </c>
      <c r="D280" s="1">
        <v>44473</v>
      </c>
      <c r="E280" t="s">
        <v>49</v>
      </c>
      <c r="F280">
        <v>6</v>
      </c>
      <c r="G280" t="s">
        <v>173</v>
      </c>
    </row>
    <row r="281" spans="1:7" x14ac:dyDescent="0.25">
      <c r="A281" s="1">
        <v>44476</v>
      </c>
      <c r="B281">
        <v>2021</v>
      </c>
      <c r="C281" s="1">
        <v>44472</v>
      </c>
      <c r="D281" s="1">
        <v>44473</v>
      </c>
      <c r="E281" t="s">
        <v>49</v>
      </c>
      <c r="F281">
        <v>6</v>
      </c>
      <c r="G281" t="s">
        <v>174</v>
      </c>
    </row>
    <row r="282" spans="1:7" x14ac:dyDescent="0.25">
      <c r="A282" s="1">
        <v>44477</v>
      </c>
      <c r="B282">
        <v>2021</v>
      </c>
      <c r="C282" s="1">
        <v>44472</v>
      </c>
      <c r="D282" s="1">
        <v>44473</v>
      </c>
      <c r="E282" t="s">
        <v>49</v>
      </c>
      <c r="F282">
        <v>6</v>
      </c>
      <c r="G282" t="s">
        <v>168</v>
      </c>
    </row>
    <row r="283" spans="1:7" x14ac:dyDescent="0.25">
      <c r="A283" s="1">
        <v>44478</v>
      </c>
      <c r="B283">
        <v>2021</v>
      </c>
      <c r="C283" s="1">
        <v>44472</v>
      </c>
      <c r="D283" s="1">
        <v>44473</v>
      </c>
      <c r="E283" t="s">
        <v>49</v>
      </c>
      <c r="F283">
        <v>6</v>
      </c>
      <c r="G283" t="s">
        <v>169</v>
      </c>
    </row>
    <row r="284" spans="1:7" x14ac:dyDescent="0.25">
      <c r="A284" s="1">
        <v>44479</v>
      </c>
      <c r="B284">
        <v>2021</v>
      </c>
      <c r="C284" s="1">
        <v>44479</v>
      </c>
      <c r="D284" s="1">
        <v>44473</v>
      </c>
      <c r="E284" t="s">
        <v>49</v>
      </c>
      <c r="F284">
        <v>6</v>
      </c>
      <c r="G284" t="s">
        <v>170</v>
      </c>
    </row>
    <row r="285" spans="1:7" x14ac:dyDescent="0.25">
      <c r="A285" s="1">
        <v>44480</v>
      </c>
      <c r="B285">
        <v>2021</v>
      </c>
      <c r="C285" s="1">
        <v>44479</v>
      </c>
      <c r="D285" s="1">
        <v>44480</v>
      </c>
      <c r="E285" t="s">
        <v>50</v>
      </c>
      <c r="F285">
        <v>7</v>
      </c>
      <c r="G285" t="s">
        <v>171</v>
      </c>
    </row>
    <row r="286" spans="1:7" x14ac:dyDescent="0.25">
      <c r="A286" s="1">
        <v>44481</v>
      </c>
      <c r="B286">
        <v>2021</v>
      </c>
      <c r="C286" s="1">
        <v>44479</v>
      </c>
      <c r="D286" s="1">
        <v>44480</v>
      </c>
      <c r="E286" t="s">
        <v>50</v>
      </c>
      <c r="F286">
        <v>7</v>
      </c>
      <c r="G286" t="s">
        <v>172</v>
      </c>
    </row>
    <row r="287" spans="1:7" x14ac:dyDescent="0.25">
      <c r="A287" s="1">
        <v>44482</v>
      </c>
      <c r="B287">
        <v>2021</v>
      </c>
      <c r="C287" s="1">
        <v>44479</v>
      </c>
      <c r="D287" s="1">
        <v>44480</v>
      </c>
      <c r="E287" t="s">
        <v>50</v>
      </c>
      <c r="F287">
        <v>7</v>
      </c>
      <c r="G287" t="s">
        <v>173</v>
      </c>
    </row>
    <row r="288" spans="1:7" x14ac:dyDescent="0.25">
      <c r="A288" s="1">
        <v>44483</v>
      </c>
      <c r="B288">
        <v>2021</v>
      </c>
      <c r="C288" s="1">
        <v>44479</v>
      </c>
      <c r="D288" s="1">
        <v>44480</v>
      </c>
      <c r="E288" t="s">
        <v>50</v>
      </c>
      <c r="F288">
        <v>7</v>
      </c>
      <c r="G288" t="s">
        <v>174</v>
      </c>
    </row>
    <row r="289" spans="1:7" x14ac:dyDescent="0.25">
      <c r="A289" s="1">
        <v>44484</v>
      </c>
      <c r="B289">
        <v>2021</v>
      </c>
      <c r="C289" s="1">
        <v>44479</v>
      </c>
      <c r="D289" s="1">
        <v>44480</v>
      </c>
      <c r="E289" t="s">
        <v>50</v>
      </c>
      <c r="F289">
        <v>7</v>
      </c>
      <c r="G289" t="s">
        <v>168</v>
      </c>
    </row>
    <row r="290" spans="1:7" x14ac:dyDescent="0.25">
      <c r="A290" s="1">
        <v>44485</v>
      </c>
      <c r="B290">
        <v>2021</v>
      </c>
      <c r="C290" s="1">
        <v>44479</v>
      </c>
      <c r="D290" s="1">
        <v>44480</v>
      </c>
      <c r="E290" t="s">
        <v>50</v>
      </c>
      <c r="F290">
        <v>7</v>
      </c>
      <c r="G290" t="s">
        <v>169</v>
      </c>
    </row>
    <row r="291" spans="1:7" x14ac:dyDescent="0.25">
      <c r="A291" s="1">
        <v>44486</v>
      </c>
      <c r="B291">
        <v>2021</v>
      </c>
      <c r="C291" s="1">
        <v>44486</v>
      </c>
      <c r="D291" s="1">
        <v>44480</v>
      </c>
      <c r="E291" t="s">
        <v>50</v>
      </c>
      <c r="F291">
        <v>7</v>
      </c>
      <c r="G291" t="s">
        <v>170</v>
      </c>
    </row>
    <row r="292" spans="1:7" x14ac:dyDescent="0.25">
      <c r="A292" s="1">
        <v>44487</v>
      </c>
      <c r="B292">
        <v>2021</v>
      </c>
      <c r="C292" s="1">
        <v>44486</v>
      </c>
      <c r="D292" s="1">
        <v>44487</v>
      </c>
      <c r="E292" t="s">
        <v>51</v>
      </c>
      <c r="F292">
        <v>8</v>
      </c>
      <c r="G292" t="s">
        <v>171</v>
      </c>
    </row>
    <row r="293" spans="1:7" x14ac:dyDescent="0.25">
      <c r="A293" s="1">
        <v>44488</v>
      </c>
      <c r="B293">
        <v>2021</v>
      </c>
      <c r="C293" s="1">
        <v>44486</v>
      </c>
      <c r="D293" s="1">
        <v>44487</v>
      </c>
      <c r="E293" t="s">
        <v>51</v>
      </c>
      <c r="F293">
        <v>8</v>
      </c>
      <c r="G293" t="s">
        <v>172</v>
      </c>
    </row>
    <row r="294" spans="1:7" x14ac:dyDescent="0.25">
      <c r="A294" s="1">
        <v>44489</v>
      </c>
      <c r="B294">
        <v>2021</v>
      </c>
      <c r="C294" s="1">
        <v>44486</v>
      </c>
      <c r="D294" s="1">
        <v>44487</v>
      </c>
      <c r="E294" t="s">
        <v>51</v>
      </c>
      <c r="F294">
        <v>8</v>
      </c>
      <c r="G294" t="s">
        <v>173</v>
      </c>
    </row>
    <row r="295" spans="1:7" x14ac:dyDescent="0.25">
      <c r="A295" s="1">
        <v>44490</v>
      </c>
      <c r="B295">
        <v>2021</v>
      </c>
      <c r="C295" s="1">
        <v>44486</v>
      </c>
      <c r="D295" s="1">
        <v>44487</v>
      </c>
      <c r="E295" t="s">
        <v>51</v>
      </c>
      <c r="F295">
        <v>8</v>
      </c>
      <c r="G295" t="s">
        <v>174</v>
      </c>
    </row>
    <row r="296" spans="1:7" x14ac:dyDescent="0.25">
      <c r="A296" s="1">
        <v>44491</v>
      </c>
      <c r="B296">
        <v>2021</v>
      </c>
      <c r="C296" s="1">
        <v>44486</v>
      </c>
      <c r="D296" s="1">
        <v>44487</v>
      </c>
      <c r="E296" t="s">
        <v>51</v>
      </c>
      <c r="F296">
        <v>8</v>
      </c>
      <c r="G296" t="s">
        <v>168</v>
      </c>
    </row>
    <row r="297" spans="1:7" x14ac:dyDescent="0.25">
      <c r="A297" s="1">
        <v>44492</v>
      </c>
      <c r="B297">
        <v>2021</v>
      </c>
      <c r="C297" s="1">
        <v>44486</v>
      </c>
      <c r="D297" s="1">
        <v>44487</v>
      </c>
      <c r="E297" t="s">
        <v>51</v>
      </c>
      <c r="F297">
        <v>8</v>
      </c>
      <c r="G297" t="s">
        <v>169</v>
      </c>
    </row>
    <row r="298" spans="1:7" x14ac:dyDescent="0.25">
      <c r="A298" s="1">
        <v>44493</v>
      </c>
      <c r="B298">
        <v>2021</v>
      </c>
      <c r="C298" s="1">
        <v>44493</v>
      </c>
      <c r="D298" s="1">
        <v>44487</v>
      </c>
      <c r="E298" t="s">
        <v>51</v>
      </c>
      <c r="F298">
        <v>8</v>
      </c>
      <c r="G298" t="s">
        <v>170</v>
      </c>
    </row>
    <row r="299" spans="1:7" x14ac:dyDescent="0.25">
      <c r="A299" s="1">
        <v>44494</v>
      </c>
      <c r="B299">
        <v>2021</v>
      </c>
      <c r="C299" s="1">
        <v>44493</v>
      </c>
      <c r="D299" s="1">
        <v>44494</v>
      </c>
      <c r="E299" t="s">
        <v>52</v>
      </c>
      <c r="F299">
        <v>9</v>
      </c>
      <c r="G299" t="s">
        <v>171</v>
      </c>
    </row>
    <row r="300" spans="1:7" x14ac:dyDescent="0.25">
      <c r="A300" s="1">
        <v>44495</v>
      </c>
      <c r="B300">
        <v>2021</v>
      </c>
      <c r="C300" s="1">
        <v>44493</v>
      </c>
      <c r="D300" s="1">
        <v>44494</v>
      </c>
      <c r="E300" t="s">
        <v>52</v>
      </c>
      <c r="F300">
        <v>9</v>
      </c>
      <c r="G300" t="s">
        <v>172</v>
      </c>
    </row>
    <row r="301" spans="1:7" x14ac:dyDescent="0.25">
      <c r="A301" s="1">
        <v>44496</v>
      </c>
      <c r="B301">
        <v>2021</v>
      </c>
      <c r="C301" s="1">
        <v>44493</v>
      </c>
      <c r="D301" s="1">
        <v>44494</v>
      </c>
      <c r="E301" t="s">
        <v>52</v>
      </c>
      <c r="F301">
        <v>9</v>
      </c>
      <c r="G301" t="s">
        <v>173</v>
      </c>
    </row>
    <row r="302" spans="1:7" x14ac:dyDescent="0.25">
      <c r="A302" s="1">
        <v>44497</v>
      </c>
      <c r="B302">
        <v>2021</v>
      </c>
      <c r="C302" s="1">
        <v>44493</v>
      </c>
      <c r="D302" s="1">
        <v>44494</v>
      </c>
      <c r="E302" t="s">
        <v>52</v>
      </c>
      <c r="F302">
        <v>9</v>
      </c>
      <c r="G302" t="s">
        <v>174</v>
      </c>
    </row>
    <row r="303" spans="1:7" x14ac:dyDescent="0.25">
      <c r="A303" s="1">
        <v>44498</v>
      </c>
      <c r="B303">
        <v>2021</v>
      </c>
      <c r="C303" s="1">
        <v>44493</v>
      </c>
      <c r="D303" s="1">
        <v>44494</v>
      </c>
      <c r="E303" t="s">
        <v>52</v>
      </c>
      <c r="F303">
        <v>9</v>
      </c>
      <c r="G303" t="s">
        <v>168</v>
      </c>
    </row>
    <row r="304" spans="1:7" x14ac:dyDescent="0.25">
      <c r="A304" s="1">
        <v>44499</v>
      </c>
      <c r="B304">
        <v>2021</v>
      </c>
      <c r="C304" s="1">
        <v>44493</v>
      </c>
      <c r="D304" s="1">
        <v>44494</v>
      </c>
      <c r="E304" t="s">
        <v>52</v>
      </c>
      <c r="F304">
        <v>9</v>
      </c>
      <c r="G304" t="s">
        <v>169</v>
      </c>
    </row>
    <row r="305" spans="1:7" x14ac:dyDescent="0.25">
      <c r="A305" s="1">
        <v>44500</v>
      </c>
      <c r="B305">
        <v>2021</v>
      </c>
      <c r="C305" s="1">
        <v>44500</v>
      </c>
      <c r="D305" s="1">
        <v>44494</v>
      </c>
      <c r="E305" t="s">
        <v>52</v>
      </c>
      <c r="F305">
        <v>9</v>
      </c>
      <c r="G305" t="s">
        <v>170</v>
      </c>
    </row>
    <row r="306" spans="1:7" x14ac:dyDescent="0.25">
      <c r="A306" s="1">
        <v>44501</v>
      </c>
      <c r="B306">
        <v>2021</v>
      </c>
      <c r="C306" s="1">
        <v>44500</v>
      </c>
      <c r="D306" s="1">
        <v>44501</v>
      </c>
      <c r="E306" t="s">
        <v>53</v>
      </c>
      <c r="F306">
        <v>10</v>
      </c>
      <c r="G306" t="s">
        <v>171</v>
      </c>
    </row>
    <row r="307" spans="1:7" x14ac:dyDescent="0.25">
      <c r="A307" s="1">
        <v>44502</v>
      </c>
      <c r="B307">
        <v>2021</v>
      </c>
      <c r="C307" s="1">
        <v>44500</v>
      </c>
      <c r="D307" s="1">
        <v>44501</v>
      </c>
      <c r="E307" t="s">
        <v>53</v>
      </c>
      <c r="F307">
        <v>10</v>
      </c>
      <c r="G307" t="s">
        <v>172</v>
      </c>
    </row>
    <row r="308" spans="1:7" x14ac:dyDescent="0.25">
      <c r="A308" s="1">
        <v>44503</v>
      </c>
      <c r="B308">
        <v>2021</v>
      </c>
      <c r="C308" s="1">
        <v>44500</v>
      </c>
      <c r="D308" s="1">
        <v>44501</v>
      </c>
      <c r="E308" t="s">
        <v>53</v>
      </c>
      <c r="F308">
        <v>10</v>
      </c>
      <c r="G308" t="s">
        <v>173</v>
      </c>
    </row>
    <row r="309" spans="1:7" x14ac:dyDescent="0.25">
      <c r="A309" s="1">
        <v>44504</v>
      </c>
      <c r="B309">
        <v>2021</v>
      </c>
      <c r="C309" s="1">
        <v>44500</v>
      </c>
      <c r="D309" s="1">
        <v>44501</v>
      </c>
      <c r="E309" t="s">
        <v>53</v>
      </c>
      <c r="F309">
        <v>10</v>
      </c>
      <c r="G309" t="s">
        <v>174</v>
      </c>
    </row>
    <row r="310" spans="1:7" x14ac:dyDescent="0.25">
      <c r="A310" s="1">
        <v>44505</v>
      </c>
      <c r="B310">
        <v>2021</v>
      </c>
      <c r="C310" s="1">
        <v>44500</v>
      </c>
      <c r="D310" s="1">
        <v>44501</v>
      </c>
      <c r="E310" t="s">
        <v>53</v>
      </c>
      <c r="F310">
        <v>10</v>
      </c>
      <c r="G310" t="s">
        <v>168</v>
      </c>
    </row>
    <row r="311" spans="1:7" x14ac:dyDescent="0.25">
      <c r="A311" s="1">
        <v>44506</v>
      </c>
      <c r="B311">
        <v>2021</v>
      </c>
      <c r="C311" s="1">
        <v>44500</v>
      </c>
      <c r="D311" s="1">
        <v>44501</v>
      </c>
      <c r="E311" t="s">
        <v>53</v>
      </c>
      <c r="F311">
        <v>10</v>
      </c>
      <c r="G311" t="s">
        <v>169</v>
      </c>
    </row>
    <row r="312" spans="1:7" x14ac:dyDescent="0.25">
      <c r="A312" s="1">
        <v>44507</v>
      </c>
      <c r="B312">
        <v>2021</v>
      </c>
      <c r="C312" s="1">
        <v>44507</v>
      </c>
      <c r="D312" s="1">
        <v>44501</v>
      </c>
      <c r="E312" t="s">
        <v>53</v>
      </c>
      <c r="F312">
        <v>10</v>
      </c>
      <c r="G312" t="s">
        <v>170</v>
      </c>
    </row>
    <row r="313" spans="1:7" x14ac:dyDescent="0.25">
      <c r="A313" s="1">
        <v>44508</v>
      </c>
      <c r="B313">
        <v>2021</v>
      </c>
      <c r="C313" s="1">
        <v>44507</v>
      </c>
      <c r="D313" s="1">
        <v>44508</v>
      </c>
      <c r="E313" t="s">
        <v>54</v>
      </c>
      <c r="F313">
        <v>11</v>
      </c>
      <c r="G313" t="s">
        <v>171</v>
      </c>
    </row>
    <row r="314" spans="1:7" x14ac:dyDescent="0.25">
      <c r="A314" s="1">
        <v>44509</v>
      </c>
      <c r="B314">
        <v>2021</v>
      </c>
      <c r="C314" s="1">
        <v>44507</v>
      </c>
      <c r="D314" s="1">
        <v>44508</v>
      </c>
      <c r="E314" t="s">
        <v>54</v>
      </c>
      <c r="F314">
        <v>11</v>
      </c>
      <c r="G314" t="s">
        <v>172</v>
      </c>
    </row>
    <row r="315" spans="1:7" x14ac:dyDescent="0.25">
      <c r="A315" s="1">
        <v>44510</v>
      </c>
      <c r="B315">
        <v>2021</v>
      </c>
      <c r="C315" s="1">
        <v>44507</v>
      </c>
      <c r="D315" s="1">
        <v>44508</v>
      </c>
      <c r="E315" t="s">
        <v>54</v>
      </c>
      <c r="F315">
        <v>11</v>
      </c>
      <c r="G315" t="s">
        <v>173</v>
      </c>
    </row>
    <row r="316" spans="1:7" x14ac:dyDescent="0.25">
      <c r="A316" s="1">
        <v>44511</v>
      </c>
      <c r="B316">
        <v>2021</v>
      </c>
      <c r="C316" s="1">
        <v>44507</v>
      </c>
      <c r="D316" s="1">
        <v>44508</v>
      </c>
      <c r="E316" t="s">
        <v>54</v>
      </c>
      <c r="F316">
        <v>11</v>
      </c>
      <c r="G316" t="s">
        <v>174</v>
      </c>
    </row>
    <row r="317" spans="1:7" x14ac:dyDescent="0.25">
      <c r="A317" s="1">
        <v>44512</v>
      </c>
      <c r="B317">
        <v>2021</v>
      </c>
      <c r="C317" s="1">
        <v>44507</v>
      </c>
      <c r="D317" s="1">
        <v>44508</v>
      </c>
      <c r="E317" t="s">
        <v>54</v>
      </c>
      <c r="F317">
        <v>11</v>
      </c>
      <c r="G317" t="s">
        <v>168</v>
      </c>
    </row>
    <row r="318" spans="1:7" x14ac:dyDescent="0.25">
      <c r="A318" s="1">
        <v>44513</v>
      </c>
      <c r="B318">
        <v>2021</v>
      </c>
      <c r="C318" s="1">
        <v>44507</v>
      </c>
      <c r="D318" s="1">
        <v>44508</v>
      </c>
      <c r="E318" t="s">
        <v>54</v>
      </c>
      <c r="F318">
        <v>11</v>
      </c>
      <c r="G318" t="s">
        <v>169</v>
      </c>
    </row>
    <row r="319" spans="1:7" x14ac:dyDescent="0.25">
      <c r="A319" s="1">
        <v>44514</v>
      </c>
      <c r="B319">
        <v>2021</v>
      </c>
      <c r="C319" s="1">
        <v>44514</v>
      </c>
      <c r="D319" s="1">
        <v>44508</v>
      </c>
      <c r="E319" t="s">
        <v>54</v>
      </c>
      <c r="F319">
        <v>11</v>
      </c>
      <c r="G319" t="s">
        <v>170</v>
      </c>
    </row>
    <row r="320" spans="1:7" x14ac:dyDescent="0.25">
      <c r="A320" s="1">
        <v>44515</v>
      </c>
      <c r="B320">
        <v>2021</v>
      </c>
      <c r="C320" s="1">
        <v>44514</v>
      </c>
      <c r="D320" s="1">
        <v>44515</v>
      </c>
      <c r="E320" t="s">
        <v>55</v>
      </c>
      <c r="F320">
        <v>12</v>
      </c>
      <c r="G320" t="s">
        <v>171</v>
      </c>
    </row>
    <row r="321" spans="1:7" x14ac:dyDescent="0.25">
      <c r="A321" s="1">
        <v>44516</v>
      </c>
      <c r="B321">
        <v>2021</v>
      </c>
      <c r="C321" s="1">
        <v>44514</v>
      </c>
      <c r="D321" s="1">
        <v>44515</v>
      </c>
      <c r="E321" t="s">
        <v>55</v>
      </c>
      <c r="F321">
        <v>12</v>
      </c>
      <c r="G321" t="s">
        <v>172</v>
      </c>
    </row>
    <row r="322" spans="1:7" x14ac:dyDescent="0.25">
      <c r="A322" s="1">
        <v>44517</v>
      </c>
      <c r="B322">
        <v>2021</v>
      </c>
      <c r="C322" s="1">
        <v>44514</v>
      </c>
      <c r="D322" s="1">
        <v>44515</v>
      </c>
      <c r="E322" t="s">
        <v>55</v>
      </c>
      <c r="F322">
        <v>12</v>
      </c>
      <c r="G322" t="s">
        <v>173</v>
      </c>
    </row>
    <row r="323" spans="1:7" x14ac:dyDescent="0.25">
      <c r="A323" s="1">
        <v>44518</v>
      </c>
      <c r="B323">
        <v>2021</v>
      </c>
      <c r="C323" s="1">
        <v>44514</v>
      </c>
      <c r="D323" s="1">
        <v>44515</v>
      </c>
      <c r="E323" t="s">
        <v>55</v>
      </c>
      <c r="F323">
        <v>12</v>
      </c>
      <c r="G323" t="s">
        <v>174</v>
      </c>
    </row>
    <row r="324" spans="1:7" x14ac:dyDescent="0.25">
      <c r="A324" s="1">
        <v>44519</v>
      </c>
      <c r="B324">
        <v>2021</v>
      </c>
      <c r="C324" s="1">
        <v>44514</v>
      </c>
      <c r="D324" s="1">
        <v>44515</v>
      </c>
      <c r="E324" t="s">
        <v>55</v>
      </c>
      <c r="F324">
        <v>12</v>
      </c>
      <c r="G324" t="s">
        <v>168</v>
      </c>
    </row>
    <row r="325" spans="1:7" x14ac:dyDescent="0.25">
      <c r="A325" s="1">
        <v>44520</v>
      </c>
      <c r="B325">
        <v>2021</v>
      </c>
      <c r="C325" s="1">
        <v>44514</v>
      </c>
      <c r="D325" s="1">
        <v>44515</v>
      </c>
      <c r="E325" t="s">
        <v>55</v>
      </c>
      <c r="F325">
        <v>12</v>
      </c>
      <c r="G325" t="s">
        <v>169</v>
      </c>
    </row>
    <row r="326" spans="1:7" x14ac:dyDescent="0.25">
      <c r="A326" s="1">
        <v>44521</v>
      </c>
      <c r="B326">
        <v>2021</v>
      </c>
      <c r="C326" s="1">
        <v>44521</v>
      </c>
      <c r="D326" s="1">
        <v>44515</v>
      </c>
      <c r="E326" t="s">
        <v>55</v>
      </c>
      <c r="F326">
        <v>12</v>
      </c>
      <c r="G326" t="s">
        <v>170</v>
      </c>
    </row>
    <row r="327" spans="1:7" x14ac:dyDescent="0.25">
      <c r="A327" s="1">
        <v>44522</v>
      </c>
      <c r="B327">
        <v>2021</v>
      </c>
      <c r="C327" s="1">
        <v>44521</v>
      </c>
      <c r="D327" s="1">
        <v>44522</v>
      </c>
      <c r="E327" t="s">
        <v>56</v>
      </c>
      <c r="F327">
        <v>13</v>
      </c>
      <c r="G327" t="s">
        <v>171</v>
      </c>
    </row>
    <row r="328" spans="1:7" x14ac:dyDescent="0.25">
      <c r="A328" s="1">
        <v>44523</v>
      </c>
      <c r="B328">
        <v>2021</v>
      </c>
      <c r="C328" s="1">
        <v>44521</v>
      </c>
      <c r="D328" s="1">
        <v>44522</v>
      </c>
      <c r="E328" t="s">
        <v>56</v>
      </c>
      <c r="F328">
        <v>13</v>
      </c>
      <c r="G328" t="s">
        <v>172</v>
      </c>
    </row>
    <row r="329" spans="1:7" x14ac:dyDescent="0.25">
      <c r="A329" s="1">
        <v>44524</v>
      </c>
      <c r="B329">
        <v>2021</v>
      </c>
      <c r="C329" s="1">
        <v>44521</v>
      </c>
      <c r="D329" s="1">
        <v>44522</v>
      </c>
      <c r="E329" t="s">
        <v>56</v>
      </c>
      <c r="F329">
        <v>13</v>
      </c>
      <c r="G329" t="s">
        <v>173</v>
      </c>
    </row>
    <row r="330" spans="1:7" x14ac:dyDescent="0.25">
      <c r="A330" s="1">
        <v>44525</v>
      </c>
      <c r="B330">
        <v>2021</v>
      </c>
      <c r="C330" s="1">
        <v>44521</v>
      </c>
      <c r="D330" s="1">
        <v>44522</v>
      </c>
      <c r="E330" t="s">
        <v>56</v>
      </c>
      <c r="F330">
        <v>13</v>
      </c>
      <c r="G330" t="s">
        <v>174</v>
      </c>
    </row>
    <row r="331" spans="1:7" x14ac:dyDescent="0.25">
      <c r="A331" s="1">
        <v>44526</v>
      </c>
      <c r="B331">
        <v>2021</v>
      </c>
      <c r="C331" s="1">
        <v>44521</v>
      </c>
      <c r="D331" s="1">
        <v>44522</v>
      </c>
      <c r="E331" t="s">
        <v>56</v>
      </c>
      <c r="F331">
        <v>13</v>
      </c>
      <c r="G331" t="s">
        <v>168</v>
      </c>
    </row>
    <row r="332" spans="1:7" x14ac:dyDescent="0.25">
      <c r="A332" s="1">
        <v>44527</v>
      </c>
      <c r="B332">
        <v>2021</v>
      </c>
      <c r="C332" s="1">
        <v>44521</v>
      </c>
      <c r="D332" s="1">
        <v>44522</v>
      </c>
      <c r="E332" t="s">
        <v>56</v>
      </c>
      <c r="F332">
        <v>13</v>
      </c>
      <c r="G332" t="s">
        <v>169</v>
      </c>
    </row>
    <row r="333" spans="1:7" x14ac:dyDescent="0.25">
      <c r="A333" s="1">
        <v>44528</v>
      </c>
      <c r="B333">
        <v>2021</v>
      </c>
      <c r="C333" s="1">
        <v>44528</v>
      </c>
      <c r="D333" s="1">
        <v>44522</v>
      </c>
      <c r="E333" t="s">
        <v>56</v>
      </c>
      <c r="F333">
        <v>13</v>
      </c>
      <c r="G333" t="s">
        <v>170</v>
      </c>
    </row>
    <row r="334" spans="1:7" x14ac:dyDescent="0.25">
      <c r="A334" s="1">
        <v>44529</v>
      </c>
      <c r="B334">
        <v>2021</v>
      </c>
      <c r="C334" s="1">
        <v>44528</v>
      </c>
      <c r="D334" s="1">
        <v>44529</v>
      </c>
      <c r="E334" t="s">
        <v>57</v>
      </c>
      <c r="F334">
        <v>14</v>
      </c>
      <c r="G334" t="s">
        <v>171</v>
      </c>
    </row>
    <row r="335" spans="1:7" x14ac:dyDescent="0.25">
      <c r="A335" s="1">
        <v>44530</v>
      </c>
      <c r="B335">
        <v>2021</v>
      </c>
      <c r="C335" s="1">
        <v>44528</v>
      </c>
      <c r="D335" s="1">
        <v>44529</v>
      </c>
      <c r="E335" t="s">
        <v>57</v>
      </c>
      <c r="F335">
        <v>14</v>
      </c>
      <c r="G335" t="s">
        <v>172</v>
      </c>
    </row>
    <row r="336" spans="1:7" x14ac:dyDescent="0.25">
      <c r="A336" s="1">
        <v>44531</v>
      </c>
      <c r="B336">
        <v>2021</v>
      </c>
      <c r="C336" s="1">
        <v>44528</v>
      </c>
      <c r="D336" s="1">
        <v>44529</v>
      </c>
      <c r="E336" t="s">
        <v>57</v>
      </c>
      <c r="F336">
        <v>14</v>
      </c>
      <c r="G336" t="s">
        <v>173</v>
      </c>
    </row>
    <row r="337" spans="1:7" x14ac:dyDescent="0.25">
      <c r="A337" s="1">
        <v>44532</v>
      </c>
      <c r="B337">
        <v>2021</v>
      </c>
      <c r="C337" s="1">
        <v>44528</v>
      </c>
      <c r="D337" s="1">
        <v>44529</v>
      </c>
      <c r="E337" t="s">
        <v>57</v>
      </c>
      <c r="F337">
        <v>14</v>
      </c>
      <c r="G337" t="s">
        <v>174</v>
      </c>
    </row>
    <row r="338" spans="1:7" x14ac:dyDescent="0.25">
      <c r="A338" s="1">
        <v>44533</v>
      </c>
      <c r="B338">
        <v>2021</v>
      </c>
      <c r="C338" s="1">
        <v>44528</v>
      </c>
      <c r="D338" s="1">
        <v>44529</v>
      </c>
      <c r="E338" t="s">
        <v>57</v>
      </c>
      <c r="F338">
        <v>14</v>
      </c>
      <c r="G338" t="s">
        <v>168</v>
      </c>
    </row>
    <row r="339" spans="1:7" x14ac:dyDescent="0.25">
      <c r="A339" s="1">
        <v>44534</v>
      </c>
      <c r="B339">
        <v>2021</v>
      </c>
      <c r="C339" s="1">
        <v>44528</v>
      </c>
      <c r="D339" s="1">
        <v>44529</v>
      </c>
      <c r="E339" t="s">
        <v>57</v>
      </c>
      <c r="F339">
        <v>14</v>
      </c>
      <c r="G339" t="s">
        <v>169</v>
      </c>
    </row>
    <row r="340" spans="1:7" x14ac:dyDescent="0.25">
      <c r="A340" s="1">
        <v>44535</v>
      </c>
      <c r="B340">
        <v>2021</v>
      </c>
      <c r="C340" s="1">
        <v>44535</v>
      </c>
      <c r="D340" s="1">
        <v>44529</v>
      </c>
      <c r="E340" t="s">
        <v>57</v>
      </c>
      <c r="F340">
        <v>14</v>
      </c>
      <c r="G340" t="s">
        <v>170</v>
      </c>
    </row>
    <row r="341" spans="1:7" x14ac:dyDescent="0.25">
      <c r="A341" s="1">
        <v>44536</v>
      </c>
      <c r="B341">
        <v>2021</v>
      </c>
      <c r="C341" s="1">
        <v>44535</v>
      </c>
      <c r="D341" s="1">
        <v>44536</v>
      </c>
      <c r="E341" t="s">
        <v>58</v>
      </c>
      <c r="F341">
        <v>15</v>
      </c>
      <c r="G341" t="s">
        <v>171</v>
      </c>
    </row>
    <row r="342" spans="1:7" x14ac:dyDescent="0.25">
      <c r="A342" s="1">
        <v>44537</v>
      </c>
      <c r="B342">
        <v>2021</v>
      </c>
      <c r="C342" s="1">
        <v>44535</v>
      </c>
      <c r="D342" s="1">
        <v>44536</v>
      </c>
      <c r="E342" t="s">
        <v>58</v>
      </c>
      <c r="F342">
        <v>15</v>
      </c>
      <c r="G342" t="s">
        <v>172</v>
      </c>
    </row>
    <row r="343" spans="1:7" x14ac:dyDescent="0.25">
      <c r="A343" s="1">
        <v>44538</v>
      </c>
      <c r="B343">
        <v>2021</v>
      </c>
      <c r="C343" s="1">
        <v>44535</v>
      </c>
      <c r="D343" s="1">
        <v>44536</v>
      </c>
      <c r="E343" t="s">
        <v>58</v>
      </c>
      <c r="F343">
        <v>15</v>
      </c>
      <c r="G343" t="s">
        <v>173</v>
      </c>
    </row>
    <row r="344" spans="1:7" x14ac:dyDescent="0.25">
      <c r="A344" s="1">
        <v>44539</v>
      </c>
      <c r="B344">
        <v>2021</v>
      </c>
      <c r="C344" s="1">
        <v>44535</v>
      </c>
      <c r="D344" s="1">
        <v>44536</v>
      </c>
      <c r="E344" t="s">
        <v>58</v>
      </c>
      <c r="F344">
        <v>15</v>
      </c>
      <c r="G344" t="s">
        <v>174</v>
      </c>
    </row>
    <row r="345" spans="1:7" x14ac:dyDescent="0.25">
      <c r="A345" s="1">
        <v>44540</v>
      </c>
      <c r="B345">
        <v>2021</v>
      </c>
      <c r="C345" s="1">
        <v>44535</v>
      </c>
      <c r="D345" s="1">
        <v>44536</v>
      </c>
      <c r="E345" t="s">
        <v>58</v>
      </c>
      <c r="F345">
        <v>15</v>
      </c>
      <c r="G345" t="s">
        <v>168</v>
      </c>
    </row>
    <row r="346" spans="1:7" x14ac:dyDescent="0.25">
      <c r="A346" s="1">
        <v>44541</v>
      </c>
      <c r="B346">
        <v>2021</v>
      </c>
      <c r="C346" s="1">
        <v>44535</v>
      </c>
      <c r="D346" s="1">
        <v>44536</v>
      </c>
      <c r="E346" t="s">
        <v>58</v>
      </c>
      <c r="F346">
        <v>15</v>
      </c>
      <c r="G346" t="s">
        <v>169</v>
      </c>
    </row>
    <row r="347" spans="1:7" x14ac:dyDescent="0.25">
      <c r="A347" s="1">
        <v>44542</v>
      </c>
      <c r="B347">
        <v>2021</v>
      </c>
      <c r="C347" s="1">
        <v>44542</v>
      </c>
      <c r="D347" s="1">
        <v>44536</v>
      </c>
      <c r="E347" t="s">
        <v>58</v>
      </c>
      <c r="F347">
        <v>15</v>
      </c>
      <c r="G347" t="s">
        <v>170</v>
      </c>
    </row>
    <row r="348" spans="1:7" x14ac:dyDescent="0.25">
      <c r="A348" s="1">
        <v>44543</v>
      </c>
      <c r="B348">
        <v>2021</v>
      </c>
      <c r="C348" s="1">
        <v>44542</v>
      </c>
      <c r="D348" s="1">
        <v>44543</v>
      </c>
      <c r="E348" t="s">
        <v>59</v>
      </c>
      <c r="F348">
        <v>16</v>
      </c>
      <c r="G348" t="s">
        <v>171</v>
      </c>
    </row>
    <row r="349" spans="1:7" x14ac:dyDescent="0.25">
      <c r="A349" s="1">
        <v>44544</v>
      </c>
      <c r="B349">
        <v>2021</v>
      </c>
      <c r="C349" s="1">
        <v>44542</v>
      </c>
      <c r="D349" s="1">
        <v>44543</v>
      </c>
      <c r="E349" t="s">
        <v>59</v>
      </c>
      <c r="F349">
        <v>16</v>
      </c>
      <c r="G349" t="s">
        <v>172</v>
      </c>
    </row>
    <row r="350" spans="1:7" x14ac:dyDescent="0.25">
      <c r="A350" s="1">
        <v>44545</v>
      </c>
      <c r="B350">
        <v>2021</v>
      </c>
      <c r="C350" s="1">
        <v>44542</v>
      </c>
      <c r="D350" s="1">
        <v>44543</v>
      </c>
      <c r="E350" t="s">
        <v>59</v>
      </c>
      <c r="F350">
        <v>16</v>
      </c>
      <c r="G350" t="s">
        <v>173</v>
      </c>
    </row>
    <row r="351" spans="1:7" x14ac:dyDescent="0.25">
      <c r="A351" s="1">
        <v>44546</v>
      </c>
      <c r="B351">
        <v>2021</v>
      </c>
      <c r="C351" s="1">
        <v>44542</v>
      </c>
      <c r="D351" s="1">
        <v>44543</v>
      </c>
      <c r="E351" t="s">
        <v>59</v>
      </c>
      <c r="F351">
        <v>16</v>
      </c>
      <c r="G351" t="s">
        <v>174</v>
      </c>
    </row>
    <row r="352" spans="1:7" x14ac:dyDescent="0.25">
      <c r="A352" s="1">
        <v>44547</v>
      </c>
      <c r="B352">
        <v>2021</v>
      </c>
      <c r="C352" s="1">
        <v>44542</v>
      </c>
      <c r="D352" s="1">
        <v>44543</v>
      </c>
      <c r="E352" t="s">
        <v>59</v>
      </c>
      <c r="F352">
        <v>16</v>
      </c>
      <c r="G352" t="s">
        <v>168</v>
      </c>
    </row>
    <row r="353" spans="1:7" x14ac:dyDescent="0.25">
      <c r="A353" s="1">
        <v>44548</v>
      </c>
      <c r="B353">
        <v>2021</v>
      </c>
      <c r="C353" s="1">
        <v>44542</v>
      </c>
      <c r="D353" s="1">
        <v>44543</v>
      </c>
      <c r="E353" t="s">
        <v>59</v>
      </c>
      <c r="F353">
        <v>16</v>
      </c>
      <c r="G353" t="s">
        <v>169</v>
      </c>
    </row>
    <row r="354" spans="1:7" x14ac:dyDescent="0.25">
      <c r="A354" s="1">
        <v>44549</v>
      </c>
      <c r="B354">
        <v>2021</v>
      </c>
      <c r="C354" s="1">
        <v>44549</v>
      </c>
      <c r="D354" s="1">
        <v>44543</v>
      </c>
      <c r="E354" t="s">
        <v>59</v>
      </c>
      <c r="F354">
        <v>16</v>
      </c>
      <c r="G354" t="s">
        <v>170</v>
      </c>
    </row>
    <row r="355" spans="1:7" x14ac:dyDescent="0.25">
      <c r="A355" s="1">
        <v>44550</v>
      </c>
      <c r="B355">
        <v>2021</v>
      </c>
      <c r="C355" s="1">
        <v>44549</v>
      </c>
      <c r="D355" s="1">
        <v>44550</v>
      </c>
      <c r="E355" t="s">
        <v>60</v>
      </c>
      <c r="F355">
        <v>17</v>
      </c>
      <c r="G355" t="s">
        <v>171</v>
      </c>
    </row>
    <row r="356" spans="1:7" x14ac:dyDescent="0.25">
      <c r="A356" s="1">
        <v>44551</v>
      </c>
      <c r="B356">
        <v>2021</v>
      </c>
      <c r="C356" s="1">
        <v>44549</v>
      </c>
      <c r="D356" s="1">
        <v>44550</v>
      </c>
      <c r="E356" t="s">
        <v>60</v>
      </c>
      <c r="F356">
        <v>17</v>
      </c>
      <c r="G356" t="s">
        <v>172</v>
      </c>
    </row>
    <row r="357" spans="1:7" x14ac:dyDescent="0.25">
      <c r="A357" s="1">
        <v>44552</v>
      </c>
      <c r="B357">
        <v>2021</v>
      </c>
      <c r="C357" s="1">
        <v>44549</v>
      </c>
      <c r="D357" s="1">
        <v>44550</v>
      </c>
      <c r="E357" t="s">
        <v>60</v>
      </c>
      <c r="F357">
        <v>17</v>
      </c>
      <c r="G357" t="s">
        <v>173</v>
      </c>
    </row>
    <row r="358" spans="1:7" x14ac:dyDescent="0.25">
      <c r="A358" s="1">
        <v>44553</v>
      </c>
      <c r="B358">
        <v>2021</v>
      </c>
      <c r="C358" s="1">
        <v>44549</v>
      </c>
      <c r="D358" s="1">
        <v>44550</v>
      </c>
      <c r="E358" t="s">
        <v>60</v>
      </c>
      <c r="F358">
        <v>17</v>
      </c>
      <c r="G358" t="s">
        <v>174</v>
      </c>
    </row>
    <row r="359" spans="1:7" x14ac:dyDescent="0.25">
      <c r="A359" s="1">
        <v>44554</v>
      </c>
      <c r="B359">
        <v>2021</v>
      </c>
      <c r="C359" s="1">
        <v>44549</v>
      </c>
      <c r="D359" s="1">
        <v>44550</v>
      </c>
      <c r="E359" t="s">
        <v>60</v>
      </c>
      <c r="F359">
        <v>17</v>
      </c>
      <c r="G359" t="s">
        <v>168</v>
      </c>
    </row>
    <row r="360" spans="1:7" x14ac:dyDescent="0.25">
      <c r="A360" s="1">
        <v>44555</v>
      </c>
      <c r="B360">
        <v>2021</v>
      </c>
      <c r="C360" s="1">
        <v>44549</v>
      </c>
      <c r="D360" s="1">
        <v>44550</v>
      </c>
      <c r="E360" t="s">
        <v>60</v>
      </c>
      <c r="F360">
        <v>17</v>
      </c>
      <c r="G360" t="s">
        <v>169</v>
      </c>
    </row>
    <row r="361" spans="1:7" x14ac:dyDescent="0.25">
      <c r="A361" s="1">
        <v>44556</v>
      </c>
      <c r="B361">
        <v>2021</v>
      </c>
      <c r="C361" s="1">
        <v>44556</v>
      </c>
      <c r="D361" s="1">
        <v>44550</v>
      </c>
      <c r="E361" t="s">
        <v>60</v>
      </c>
      <c r="F361">
        <v>17</v>
      </c>
      <c r="G361" t="s">
        <v>170</v>
      </c>
    </row>
    <row r="362" spans="1:7" x14ac:dyDescent="0.25">
      <c r="A362" s="1">
        <v>44557</v>
      </c>
      <c r="B362">
        <v>2021</v>
      </c>
      <c r="C362" s="1">
        <v>44556</v>
      </c>
      <c r="D362" s="1">
        <v>44557</v>
      </c>
      <c r="E362" t="s">
        <v>61</v>
      </c>
      <c r="F362">
        <v>18</v>
      </c>
      <c r="G362" t="s">
        <v>171</v>
      </c>
    </row>
    <row r="363" spans="1:7" x14ac:dyDescent="0.25">
      <c r="A363" s="1">
        <v>44558</v>
      </c>
      <c r="B363">
        <v>2021</v>
      </c>
      <c r="C363" s="1">
        <v>44556</v>
      </c>
      <c r="D363" s="1">
        <v>44557</v>
      </c>
      <c r="E363" t="s">
        <v>61</v>
      </c>
      <c r="F363">
        <v>18</v>
      </c>
      <c r="G363" t="s">
        <v>172</v>
      </c>
    </row>
    <row r="364" spans="1:7" x14ac:dyDescent="0.25">
      <c r="A364" s="1">
        <v>44559</v>
      </c>
      <c r="B364">
        <v>2021</v>
      </c>
      <c r="C364" s="1">
        <v>44556</v>
      </c>
      <c r="D364" s="1">
        <v>44557</v>
      </c>
      <c r="E364" t="s">
        <v>61</v>
      </c>
      <c r="F364">
        <v>18</v>
      </c>
      <c r="G364" t="s">
        <v>173</v>
      </c>
    </row>
    <row r="365" spans="1:7" x14ac:dyDescent="0.25">
      <c r="A365" s="1">
        <v>44560</v>
      </c>
      <c r="B365">
        <v>2021</v>
      </c>
      <c r="C365" s="1">
        <v>44556</v>
      </c>
      <c r="D365" s="1">
        <v>44557</v>
      </c>
      <c r="E365" t="s">
        <v>61</v>
      </c>
      <c r="F365">
        <v>18</v>
      </c>
      <c r="G365" t="s">
        <v>174</v>
      </c>
    </row>
    <row r="366" spans="1:7" x14ac:dyDescent="0.25">
      <c r="A366" s="1">
        <v>44561</v>
      </c>
      <c r="B366">
        <v>2021</v>
      </c>
      <c r="C366" s="1">
        <v>44556</v>
      </c>
      <c r="D366" s="1">
        <v>44557</v>
      </c>
      <c r="E366" t="s">
        <v>61</v>
      </c>
      <c r="F366">
        <v>18</v>
      </c>
      <c r="G366" t="s">
        <v>168</v>
      </c>
    </row>
    <row r="367" spans="1:7" x14ac:dyDescent="0.25">
      <c r="A367" s="1">
        <v>44562</v>
      </c>
      <c r="B367">
        <v>2022</v>
      </c>
      <c r="C367" s="1">
        <v>44556</v>
      </c>
      <c r="D367" s="1">
        <v>44557</v>
      </c>
      <c r="E367" t="s">
        <v>61</v>
      </c>
      <c r="F367">
        <v>18</v>
      </c>
      <c r="G367" t="s">
        <v>169</v>
      </c>
    </row>
    <row r="368" spans="1:7" x14ac:dyDescent="0.25">
      <c r="A368" s="1">
        <v>44563</v>
      </c>
      <c r="B368">
        <v>2022</v>
      </c>
      <c r="C368" s="1">
        <v>44563</v>
      </c>
      <c r="D368" s="1">
        <v>44557</v>
      </c>
      <c r="E368" t="s">
        <v>61</v>
      </c>
      <c r="F368">
        <v>18</v>
      </c>
      <c r="G368" t="s">
        <v>170</v>
      </c>
    </row>
    <row r="369" spans="1:7" x14ac:dyDescent="0.25">
      <c r="A369" s="1">
        <v>44564</v>
      </c>
      <c r="B369">
        <v>2022</v>
      </c>
      <c r="C369" s="1">
        <v>44563</v>
      </c>
      <c r="D369" s="1">
        <v>44564</v>
      </c>
      <c r="E369" t="s">
        <v>62</v>
      </c>
      <c r="F369">
        <v>19</v>
      </c>
      <c r="G369" t="s">
        <v>171</v>
      </c>
    </row>
    <row r="370" spans="1:7" x14ac:dyDescent="0.25">
      <c r="A370" s="1">
        <v>44565</v>
      </c>
      <c r="B370">
        <v>2022</v>
      </c>
      <c r="C370" s="1">
        <v>44563</v>
      </c>
      <c r="D370" s="1">
        <v>44564</v>
      </c>
      <c r="E370" t="s">
        <v>62</v>
      </c>
      <c r="F370">
        <v>19</v>
      </c>
      <c r="G370" t="s">
        <v>172</v>
      </c>
    </row>
    <row r="371" spans="1:7" x14ac:dyDescent="0.25">
      <c r="A371" s="1">
        <v>44566</v>
      </c>
      <c r="B371">
        <v>2022</v>
      </c>
      <c r="C371" s="1">
        <v>44563</v>
      </c>
      <c r="D371" s="1">
        <v>44564</v>
      </c>
      <c r="E371" t="s">
        <v>62</v>
      </c>
      <c r="F371">
        <v>19</v>
      </c>
      <c r="G371" t="s">
        <v>173</v>
      </c>
    </row>
    <row r="372" spans="1:7" x14ac:dyDescent="0.25">
      <c r="A372" s="1">
        <v>44567</v>
      </c>
      <c r="B372">
        <v>2022</v>
      </c>
      <c r="C372" s="1">
        <v>44563</v>
      </c>
      <c r="D372" s="1">
        <v>44564</v>
      </c>
      <c r="E372" t="s">
        <v>62</v>
      </c>
      <c r="F372">
        <v>19</v>
      </c>
      <c r="G372" t="s">
        <v>174</v>
      </c>
    </row>
    <row r="373" spans="1:7" x14ac:dyDescent="0.25">
      <c r="A373" s="1">
        <v>44568</v>
      </c>
      <c r="B373">
        <v>2022</v>
      </c>
      <c r="C373" s="1">
        <v>44563</v>
      </c>
      <c r="D373" s="1">
        <v>44564</v>
      </c>
      <c r="E373" t="s">
        <v>62</v>
      </c>
      <c r="F373">
        <v>19</v>
      </c>
      <c r="G373" t="s">
        <v>168</v>
      </c>
    </row>
    <row r="374" spans="1:7" x14ac:dyDescent="0.25">
      <c r="A374" s="1">
        <v>44569</v>
      </c>
      <c r="B374">
        <v>2022</v>
      </c>
      <c r="C374" s="1">
        <v>44563</v>
      </c>
      <c r="D374" s="1">
        <v>44564</v>
      </c>
      <c r="E374" t="s">
        <v>62</v>
      </c>
      <c r="F374">
        <v>19</v>
      </c>
      <c r="G374" t="s">
        <v>169</v>
      </c>
    </row>
    <row r="375" spans="1:7" x14ac:dyDescent="0.25">
      <c r="A375" s="1">
        <v>44570</v>
      </c>
      <c r="B375">
        <v>2022</v>
      </c>
      <c r="C375" s="1">
        <v>44570</v>
      </c>
      <c r="D375" s="1">
        <v>44564</v>
      </c>
      <c r="E375" t="s">
        <v>62</v>
      </c>
      <c r="F375">
        <v>19</v>
      </c>
      <c r="G375" t="s">
        <v>170</v>
      </c>
    </row>
    <row r="376" spans="1:7" x14ac:dyDescent="0.25">
      <c r="A376" s="1">
        <v>44571</v>
      </c>
      <c r="B376">
        <v>2022</v>
      </c>
      <c r="C376" s="1">
        <v>44570</v>
      </c>
      <c r="D376" s="1">
        <v>44571</v>
      </c>
      <c r="E376" t="s">
        <v>63</v>
      </c>
      <c r="F376">
        <v>20</v>
      </c>
      <c r="G376" t="s">
        <v>171</v>
      </c>
    </row>
    <row r="377" spans="1:7" x14ac:dyDescent="0.25">
      <c r="A377" s="1">
        <v>44572</v>
      </c>
      <c r="B377">
        <v>2022</v>
      </c>
      <c r="C377" s="1">
        <v>44570</v>
      </c>
      <c r="D377" s="1">
        <v>44571</v>
      </c>
      <c r="E377" t="s">
        <v>63</v>
      </c>
      <c r="F377">
        <v>20</v>
      </c>
      <c r="G377" t="s">
        <v>172</v>
      </c>
    </row>
    <row r="378" spans="1:7" x14ac:dyDescent="0.25">
      <c r="A378" s="1">
        <v>44573</v>
      </c>
      <c r="B378">
        <v>2022</v>
      </c>
      <c r="C378" s="1">
        <v>44570</v>
      </c>
      <c r="D378" s="1">
        <v>44571</v>
      </c>
      <c r="E378" t="s">
        <v>63</v>
      </c>
      <c r="F378">
        <v>20</v>
      </c>
      <c r="G378" t="s">
        <v>173</v>
      </c>
    </row>
    <row r="379" spans="1:7" x14ac:dyDescent="0.25">
      <c r="A379" s="1">
        <v>44574</v>
      </c>
      <c r="B379">
        <v>2022</v>
      </c>
      <c r="C379" s="1">
        <v>44570</v>
      </c>
      <c r="D379" s="1">
        <v>44571</v>
      </c>
      <c r="E379" t="s">
        <v>63</v>
      </c>
      <c r="F379">
        <v>20</v>
      </c>
      <c r="G379" t="s">
        <v>174</v>
      </c>
    </row>
    <row r="380" spans="1:7" x14ac:dyDescent="0.25">
      <c r="A380" s="1">
        <v>44575</v>
      </c>
      <c r="B380">
        <v>2022</v>
      </c>
      <c r="C380" s="1">
        <v>44570</v>
      </c>
      <c r="D380" s="1">
        <v>44571</v>
      </c>
      <c r="E380" t="s">
        <v>63</v>
      </c>
      <c r="F380">
        <v>20</v>
      </c>
      <c r="G380" t="s">
        <v>168</v>
      </c>
    </row>
    <row r="381" spans="1:7" x14ac:dyDescent="0.25">
      <c r="A381" s="1">
        <v>44576</v>
      </c>
      <c r="B381">
        <v>2022</v>
      </c>
      <c r="C381" s="1">
        <v>44570</v>
      </c>
      <c r="D381" s="1">
        <v>44571</v>
      </c>
      <c r="E381" t="s">
        <v>63</v>
      </c>
      <c r="F381">
        <v>20</v>
      </c>
      <c r="G381" t="s">
        <v>169</v>
      </c>
    </row>
    <row r="382" spans="1:7" x14ac:dyDescent="0.25">
      <c r="A382" s="1">
        <v>44577</v>
      </c>
      <c r="B382">
        <v>2022</v>
      </c>
      <c r="C382" s="1">
        <v>44577</v>
      </c>
      <c r="D382" s="1">
        <v>44571</v>
      </c>
      <c r="E382" t="s">
        <v>63</v>
      </c>
      <c r="F382">
        <v>20</v>
      </c>
      <c r="G382" t="s">
        <v>170</v>
      </c>
    </row>
    <row r="383" spans="1:7" x14ac:dyDescent="0.25">
      <c r="A383" s="1">
        <v>44578</v>
      </c>
      <c r="B383">
        <v>2022</v>
      </c>
      <c r="C383" s="1">
        <v>44577</v>
      </c>
      <c r="D383" s="1">
        <v>44578</v>
      </c>
      <c r="E383" t="s">
        <v>64</v>
      </c>
      <c r="F383">
        <v>21</v>
      </c>
      <c r="G383" t="s">
        <v>171</v>
      </c>
    </row>
    <row r="384" spans="1:7" x14ac:dyDescent="0.25">
      <c r="A384" s="1">
        <v>44579</v>
      </c>
      <c r="B384">
        <v>2022</v>
      </c>
      <c r="C384" s="1">
        <v>44577</v>
      </c>
      <c r="D384" s="1">
        <v>44578</v>
      </c>
      <c r="E384" t="s">
        <v>64</v>
      </c>
      <c r="F384">
        <v>21</v>
      </c>
      <c r="G384" t="s">
        <v>172</v>
      </c>
    </row>
    <row r="385" spans="1:7" x14ac:dyDescent="0.25">
      <c r="A385" s="1">
        <v>44580</v>
      </c>
      <c r="B385">
        <v>2022</v>
      </c>
      <c r="C385" s="1">
        <v>44577</v>
      </c>
      <c r="D385" s="1">
        <v>44578</v>
      </c>
      <c r="E385" t="s">
        <v>64</v>
      </c>
      <c r="F385">
        <v>21</v>
      </c>
      <c r="G385" t="s">
        <v>173</v>
      </c>
    </row>
    <row r="386" spans="1:7" x14ac:dyDescent="0.25">
      <c r="A386" s="1">
        <v>44581</v>
      </c>
      <c r="B386">
        <v>2022</v>
      </c>
      <c r="C386" s="1">
        <v>44577</v>
      </c>
      <c r="D386" s="1">
        <v>44578</v>
      </c>
      <c r="E386" t="s">
        <v>64</v>
      </c>
      <c r="F386">
        <v>21</v>
      </c>
      <c r="G386" t="s">
        <v>174</v>
      </c>
    </row>
    <row r="387" spans="1:7" x14ac:dyDescent="0.25">
      <c r="A387" s="1">
        <v>44582</v>
      </c>
      <c r="B387">
        <v>2022</v>
      </c>
      <c r="C387" s="1">
        <v>44577</v>
      </c>
      <c r="D387" s="1">
        <v>44578</v>
      </c>
      <c r="E387" t="s">
        <v>64</v>
      </c>
      <c r="F387">
        <v>21</v>
      </c>
      <c r="G387" t="s">
        <v>168</v>
      </c>
    </row>
    <row r="388" spans="1:7" x14ac:dyDescent="0.25">
      <c r="A388" s="1">
        <v>44583</v>
      </c>
      <c r="B388">
        <v>2022</v>
      </c>
      <c r="C388" s="1">
        <v>44577</v>
      </c>
      <c r="D388" s="1">
        <v>44578</v>
      </c>
      <c r="E388" t="s">
        <v>64</v>
      </c>
      <c r="F388">
        <v>21</v>
      </c>
      <c r="G388" t="s">
        <v>169</v>
      </c>
    </row>
    <row r="389" spans="1:7" x14ac:dyDescent="0.25">
      <c r="A389" s="1">
        <v>44584</v>
      </c>
      <c r="B389">
        <v>2022</v>
      </c>
      <c r="C389" s="1">
        <v>44584</v>
      </c>
      <c r="D389" s="1">
        <v>44578</v>
      </c>
      <c r="E389" t="s">
        <v>64</v>
      </c>
      <c r="F389">
        <v>21</v>
      </c>
      <c r="G389" t="s">
        <v>170</v>
      </c>
    </row>
    <row r="390" spans="1:7" x14ac:dyDescent="0.25">
      <c r="A390" s="1">
        <v>44585</v>
      </c>
      <c r="B390">
        <v>2022</v>
      </c>
      <c r="C390" s="1">
        <v>44584</v>
      </c>
      <c r="D390" s="1">
        <v>44585</v>
      </c>
      <c r="E390" t="s">
        <v>65</v>
      </c>
      <c r="F390">
        <v>22</v>
      </c>
      <c r="G390" t="s">
        <v>171</v>
      </c>
    </row>
    <row r="391" spans="1:7" x14ac:dyDescent="0.25">
      <c r="A391" s="1">
        <v>44586</v>
      </c>
      <c r="B391">
        <v>2022</v>
      </c>
      <c r="C391" s="1">
        <v>44584</v>
      </c>
      <c r="D391" s="1">
        <v>44585</v>
      </c>
      <c r="E391" t="s">
        <v>65</v>
      </c>
      <c r="F391">
        <v>22</v>
      </c>
      <c r="G391" t="s">
        <v>172</v>
      </c>
    </row>
    <row r="392" spans="1:7" x14ac:dyDescent="0.25">
      <c r="A392" s="1">
        <v>44587</v>
      </c>
      <c r="B392">
        <v>2022</v>
      </c>
      <c r="C392" s="1">
        <v>44584</v>
      </c>
      <c r="D392" s="1">
        <v>44585</v>
      </c>
      <c r="E392" t="s">
        <v>65</v>
      </c>
      <c r="F392">
        <v>22</v>
      </c>
      <c r="G392" t="s">
        <v>173</v>
      </c>
    </row>
    <row r="393" spans="1:7" x14ac:dyDescent="0.25">
      <c r="A393" s="1">
        <v>44588</v>
      </c>
      <c r="B393">
        <v>2022</v>
      </c>
      <c r="C393" s="1">
        <v>44584</v>
      </c>
      <c r="D393" s="1">
        <v>44585</v>
      </c>
      <c r="E393" t="s">
        <v>65</v>
      </c>
      <c r="F393">
        <v>22</v>
      </c>
      <c r="G393" t="s">
        <v>174</v>
      </c>
    </row>
    <row r="394" spans="1:7" x14ac:dyDescent="0.25">
      <c r="A394" s="1">
        <v>44589</v>
      </c>
      <c r="B394">
        <v>2022</v>
      </c>
      <c r="C394" s="1">
        <v>44584</v>
      </c>
      <c r="D394" s="1">
        <v>44585</v>
      </c>
      <c r="E394" t="s">
        <v>65</v>
      </c>
      <c r="F394">
        <v>22</v>
      </c>
      <c r="G394" t="s">
        <v>168</v>
      </c>
    </row>
    <row r="395" spans="1:7" x14ac:dyDescent="0.25">
      <c r="A395" s="1">
        <v>44590</v>
      </c>
      <c r="B395">
        <v>2022</v>
      </c>
      <c r="C395" s="1">
        <v>44584</v>
      </c>
      <c r="D395" s="1">
        <v>44585</v>
      </c>
      <c r="E395" t="s">
        <v>65</v>
      </c>
      <c r="F395">
        <v>22</v>
      </c>
      <c r="G395" t="s">
        <v>169</v>
      </c>
    </row>
    <row r="396" spans="1:7" x14ac:dyDescent="0.25">
      <c r="A396" s="1">
        <v>44591</v>
      </c>
      <c r="B396">
        <v>2022</v>
      </c>
      <c r="C396" s="1">
        <v>44591</v>
      </c>
      <c r="D396" s="1">
        <v>44585</v>
      </c>
      <c r="E396" t="s">
        <v>65</v>
      </c>
      <c r="F396">
        <v>22</v>
      </c>
      <c r="G396" t="s">
        <v>170</v>
      </c>
    </row>
    <row r="397" spans="1:7" x14ac:dyDescent="0.25">
      <c r="A397" s="1">
        <v>44592</v>
      </c>
      <c r="B397">
        <v>2022</v>
      </c>
      <c r="C397" s="1">
        <v>44591</v>
      </c>
      <c r="D397" s="1">
        <v>44592</v>
      </c>
      <c r="E397" t="s">
        <v>66</v>
      </c>
      <c r="F397">
        <v>23</v>
      </c>
      <c r="G397" t="s">
        <v>171</v>
      </c>
    </row>
    <row r="398" spans="1:7" x14ac:dyDescent="0.25">
      <c r="A398" s="1">
        <v>44593</v>
      </c>
      <c r="B398">
        <v>2022</v>
      </c>
      <c r="C398" s="1">
        <v>44591</v>
      </c>
      <c r="D398" s="1">
        <v>44592</v>
      </c>
      <c r="E398" t="s">
        <v>66</v>
      </c>
      <c r="F398">
        <v>23</v>
      </c>
      <c r="G398" t="s">
        <v>172</v>
      </c>
    </row>
    <row r="399" spans="1:7" x14ac:dyDescent="0.25">
      <c r="A399" s="1">
        <v>44594</v>
      </c>
      <c r="B399">
        <v>2022</v>
      </c>
      <c r="C399" s="1">
        <v>44591</v>
      </c>
      <c r="D399" s="1">
        <v>44592</v>
      </c>
      <c r="E399" t="s">
        <v>66</v>
      </c>
      <c r="F399">
        <v>23</v>
      </c>
      <c r="G399" t="s">
        <v>173</v>
      </c>
    </row>
    <row r="400" spans="1:7" x14ac:dyDescent="0.25">
      <c r="A400" s="1">
        <v>44595</v>
      </c>
      <c r="B400">
        <v>2022</v>
      </c>
      <c r="C400" s="1">
        <v>44591</v>
      </c>
      <c r="D400" s="1">
        <v>44592</v>
      </c>
      <c r="E400" t="s">
        <v>66</v>
      </c>
      <c r="F400">
        <v>23</v>
      </c>
      <c r="G400" t="s">
        <v>174</v>
      </c>
    </row>
    <row r="401" spans="1:7" x14ac:dyDescent="0.25">
      <c r="A401" s="1">
        <v>44596</v>
      </c>
      <c r="B401">
        <v>2022</v>
      </c>
      <c r="C401" s="1">
        <v>44591</v>
      </c>
      <c r="D401" s="1">
        <v>44592</v>
      </c>
      <c r="E401" t="s">
        <v>66</v>
      </c>
      <c r="F401">
        <v>23</v>
      </c>
      <c r="G401" t="s">
        <v>168</v>
      </c>
    </row>
    <row r="402" spans="1:7" x14ac:dyDescent="0.25">
      <c r="A402" s="1">
        <v>44597</v>
      </c>
      <c r="B402">
        <v>2022</v>
      </c>
      <c r="C402" s="1">
        <v>44591</v>
      </c>
      <c r="D402" s="1">
        <v>44592</v>
      </c>
      <c r="E402" t="s">
        <v>66</v>
      </c>
      <c r="F402">
        <v>23</v>
      </c>
      <c r="G402" t="s">
        <v>169</v>
      </c>
    </row>
    <row r="403" spans="1:7" x14ac:dyDescent="0.25">
      <c r="A403" s="1">
        <v>44598</v>
      </c>
      <c r="B403">
        <v>2022</v>
      </c>
      <c r="C403" s="1">
        <v>44598</v>
      </c>
      <c r="D403" s="1">
        <v>44592</v>
      </c>
      <c r="E403" t="s">
        <v>66</v>
      </c>
      <c r="F403">
        <v>23</v>
      </c>
      <c r="G403" t="s">
        <v>170</v>
      </c>
    </row>
    <row r="404" spans="1:7" x14ac:dyDescent="0.25">
      <c r="A404" s="1">
        <v>44599</v>
      </c>
      <c r="B404">
        <v>2022</v>
      </c>
      <c r="C404" s="1">
        <v>44598</v>
      </c>
      <c r="D404" s="1">
        <v>44599</v>
      </c>
      <c r="E404" t="s">
        <v>67</v>
      </c>
      <c r="F404">
        <v>24</v>
      </c>
      <c r="G404" t="s">
        <v>171</v>
      </c>
    </row>
    <row r="405" spans="1:7" x14ac:dyDescent="0.25">
      <c r="A405" s="1">
        <v>44600</v>
      </c>
      <c r="B405">
        <v>2022</v>
      </c>
      <c r="C405" s="1">
        <v>44598</v>
      </c>
      <c r="D405" s="1">
        <v>44599</v>
      </c>
      <c r="E405" t="s">
        <v>67</v>
      </c>
      <c r="F405">
        <v>24</v>
      </c>
      <c r="G405" t="s">
        <v>172</v>
      </c>
    </row>
    <row r="406" spans="1:7" x14ac:dyDescent="0.25">
      <c r="A406" s="1">
        <v>44601</v>
      </c>
      <c r="B406">
        <v>2022</v>
      </c>
      <c r="C406" s="1">
        <v>44598</v>
      </c>
      <c r="D406" s="1">
        <v>44599</v>
      </c>
      <c r="E406" t="s">
        <v>67</v>
      </c>
      <c r="F406">
        <v>24</v>
      </c>
      <c r="G406" t="s">
        <v>173</v>
      </c>
    </row>
    <row r="407" spans="1:7" x14ac:dyDescent="0.25">
      <c r="A407" s="1">
        <v>44602</v>
      </c>
      <c r="B407">
        <v>2022</v>
      </c>
      <c r="C407" s="1">
        <v>44598</v>
      </c>
      <c r="D407" s="1">
        <v>44599</v>
      </c>
      <c r="E407" t="s">
        <v>67</v>
      </c>
      <c r="F407">
        <v>24</v>
      </c>
      <c r="G407" t="s">
        <v>174</v>
      </c>
    </row>
    <row r="408" spans="1:7" x14ac:dyDescent="0.25">
      <c r="A408" s="1">
        <v>44603</v>
      </c>
      <c r="B408">
        <v>2022</v>
      </c>
      <c r="C408" s="1">
        <v>44598</v>
      </c>
      <c r="D408" s="1">
        <v>44599</v>
      </c>
      <c r="E408" t="s">
        <v>67</v>
      </c>
      <c r="F408">
        <v>24</v>
      </c>
      <c r="G408" t="s">
        <v>168</v>
      </c>
    </row>
    <row r="409" spans="1:7" x14ac:dyDescent="0.25">
      <c r="A409" s="1">
        <v>44604</v>
      </c>
      <c r="B409">
        <v>2022</v>
      </c>
      <c r="C409" s="1">
        <v>44598</v>
      </c>
      <c r="D409" s="1">
        <v>44599</v>
      </c>
      <c r="E409" t="s">
        <v>67</v>
      </c>
      <c r="F409">
        <v>24</v>
      </c>
      <c r="G409" t="s">
        <v>169</v>
      </c>
    </row>
    <row r="410" spans="1:7" x14ac:dyDescent="0.25">
      <c r="A410" s="1">
        <v>44605</v>
      </c>
      <c r="B410">
        <v>2022</v>
      </c>
      <c r="C410" s="1">
        <v>44605</v>
      </c>
      <c r="D410" s="1">
        <v>44599</v>
      </c>
      <c r="E410" t="s">
        <v>67</v>
      </c>
      <c r="F410">
        <v>24</v>
      </c>
      <c r="G410" t="s">
        <v>170</v>
      </c>
    </row>
    <row r="411" spans="1:7" x14ac:dyDescent="0.25">
      <c r="A411" s="1">
        <v>44606</v>
      </c>
      <c r="B411">
        <v>2022</v>
      </c>
      <c r="C411" s="1">
        <v>44605</v>
      </c>
      <c r="D411" s="1">
        <v>44606</v>
      </c>
      <c r="E411" t="s">
        <v>68</v>
      </c>
      <c r="F411">
        <v>25</v>
      </c>
      <c r="G411" t="s">
        <v>171</v>
      </c>
    </row>
    <row r="412" spans="1:7" x14ac:dyDescent="0.25">
      <c r="A412" s="1">
        <v>44607</v>
      </c>
      <c r="B412">
        <v>2022</v>
      </c>
      <c r="C412" s="1">
        <v>44605</v>
      </c>
      <c r="D412" s="1">
        <v>44606</v>
      </c>
      <c r="E412" t="s">
        <v>68</v>
      </c>
      <c r="F412">
        <v>25</v>
      </c>
      <c r="G412" t="s">
        <v>172</v>
      </c>
    </row>
    <row r="413" spans="1:7" x14ac:dyDescent="0.25">
      <c r="A413" s="1">
        <v>44608</v>
      </c>
      <c r="B413">
        <v>2022</v>
      </c>
      <c r="C413" s="1">
        <v>44605</v>
      </c>
      <c r="D413" s="1">
        <v>44606</v>
      </c>
      <c r="E413" t="s">
        <v>68</v>
      </c>
      <c r="F413">
        <v>25</v>
      </c>
      <c r="G413" t="s">
        <v>173</v>
      </c>
    </row>
    <row r="414" spans="1:7" x14ac:dyDescent="0.25">
      <c r="A414" s="1">
        <v>44609</v>
      </c>
      <c r="B414">
        <v>2022</v>
      </c>
      <c r="C414" s="1">
        <v>44605</v>
      </c>
      <c r="D414" s="1">
        <v>44606</v>
      </c>
      <c r="E414" t="s">
        <v>68</v>
      </c>
      <c r="F414">
        <v>25</v>
      </c>
      <c r="G414" t="s">
        <v>174</v>
      </c>
    </row>
    <row r="415" spans="1:7" x14ac:dyDescent="0.25">
      <c r="A415" s="1">
        <v>44610</v>
      </c>
      <c r="B415">
        <v>2022</v>
      </c>
      <c r="C415" s="1">
        <v>44605</v>
      </c>
      <c r="D415" s="1">
        <v>44606</v>
      </c>
      <c r="E415" t="s">
        <v>68</v>
      </c>
      <c r="F415">
        <v>25</v>
      </c>
      <c r="G415" t="s">
        <v>168</v>
      </c>
    </row>
    <row r="416" spans="1:7" x14ac:dyDescent="0.25">
      <c r="A416" s="1">
        <v>44611</v>
      </c>
      <c r="B416">
        <v>2022</v>
      </c>
      <c r="C416" s="1">
        <v>44605</v>
      </c>
      <c r="D416" s="1">
        <v>44606</v>
      </c>
      <c r="E416" t="s">
        <v>68</v>
      </c>
      <c r="F416">
        <v>25</v>
      </c>
      <c r="G416" t="s">
        <v>169</v>
      </c>
    </row>
    <row r="417" spans="1:7" x14ac:dyDescent="0.25">
      <c r="A417" s="1">
        <v>44612</v>
      </c>
      <c r="B417">
        <v>2022</v>
      </c>
      <c r="C417" s="1">
        <v>44612</v>
      </c>
      <c r="D417" s="1">
        <v>44606</v>
      </c>
      <c r="E417" t="s">
        <v>68</v>
      </c>
      <c r="F417">
        <v>25</v>
      </c>
      <c r="G417" t="s">
        <v>170</v>
      </c>
    </row>
    <row r="418" spans="1:7" x14ac:dyDescent="0.25">
      <c r="A418" s="1">
        <v>44613</v>
      </c>
      <c r="B418">
        <v>2022</v>
      </c>
      <c r="C418" s="1">
        <v>44612</v>
      </c>
      <c r="D418" s="1">
        <v>44613</v>
      </c>
      <c r="E418" t="s">
        <v>69</v>
      </c>
      <c r="F418">
        <v>26</v>
      </c>
      <c r="G418" t="s">
        <v>171</v>
      </c>
    </row>
    <row r="419" spans="1:7" x14ac:dyDescent="0.25">
      <c r="A419" s="1">
        <v>44614</v>
      </c>
      <c r="B419">
        <v>2022</v>
      </c>
      <c r="C419" s="1">
        <v>44612</v>
      </c>
      <c r="D419" s="1">
        <v>44613</v>
      </c>
      <c r="E419" t="s">
        <v>69</v>
      </c>
      <c r="F419">
        <v>26</v>
      </c>
      <c r="G419" t="s">
        <v>172</v>
      </c>
    </row>
    <row r="420" spans="1:7" x14ac:dyDescent="0.25">
      <c r="A420" s="1">
        <v>44615</v>
      </c>
      <c r="B420">
        <v>2022</v>
      </c>
      <c r="C420" s="1">
        <v>44612</v>
      </c>
      <c r="D420" s="1">
        <v>44613</v>
      </c>
      <c r="E420" t="s">
        <v>69</v>
      </c>
      <c r="F420">
        <v>26</v>
      </c>
      <c r="G420" t="s">
        <v>173</v>
      </c>
    </row>
    <row r="421" spans="1:7" x14ac:dyDescent="0.25">
      <c r="A421" s="1">
        <v>44616</v>
      </c>
      <c r="B421">
        <v>2022</v>
      </c>
      <c r="C421" s="1">
        <v>44612</v>
      </c>
      <c r="D421" s="1">
        <v>44613</v>
      </c>
      <c r="E421" t="s">
        <v>69</v>
      </c>
      <c r="F421">
        <v>26</v>
      </c>
      <c r="G421" t="s">
        <v>174</v>
      </c>
    </row>
    <row r="422" spans="1:7" x14ac:dyDescent="0.25">
      <c r="A422" s="1">
        <v>44617</v>
      </c>
      <c r="B422">
        <v>2022</v>
      </c>
      <c r="C422" s="1">
        <v>44612</v>
      </c>
      <c r="D422" s="1">
        <v>44613</v>
      </c>
      <c r="E422" t="s">
        <v>69</v>
      </c>
      <c r="F422">
        <v>26</v>
      </c>
      <c r="G422" t="s">
        <v>168</v>
      </c>
    </row>
    <row r="423" spans="1:7" x14ac:dyDescent="0.25">
      <c r="A423" s="1">
        <v>44618</v>
      </c>
      <c r="B423">
        <v>2022</v>
      </c>
      <c r="C423" s="1">
        <v>44612</v>
      </c>
      <c r="D423" s="1">
        <v>44613</v>
      </c>
      <c r="E423" t="s">
        <v>69</v>
      </c>
      <c r="F423">
        <v>26</v>
      </c>
      <c r="G423" t="s">
        <v>169</v>
      </c>
    </row>
    <row r="424" spans="1:7" x14ac:dyDescent="0.25">
      <c r="A424" s="1">
        <v>44619</v>
      </c>
      <c r="B424">
        <v>2022</v>
      </c>
      <c r="C424" s="1">
        <v>44619</v>
      </c>
      <c r="D424" s="1">
        <v>44613</v>
      </c>
      <c r="E424" t="s">
        <v>69</v>
      </c>
      <c r="F424">
        <v>26</v>
      </c>
      <c r="G424" t="s">
        <v>170</v>
      </c>
    </row>
    <row r="425" spans="1:7" x14ac:dyDescent="0.25">
      <c r="A425" s="1">
        <v>44620</v>
      </c>
      <c r="B425">
        <v>2022</v>
      </c>
      <c r="C425" s="1">
        <v>44619</v>
      </c>
      <c r="D425" s="1">
        <v>44620</v>
      </c>
      <c r="E425" t="s">
        <v>70</v>
      </c>
      <c r="F425">
        <v>27</v>
      </c>
      <c r="G425" t="s">
        <v>171</v>
      </c>
    </row>
    <row r="426" spans="1:7" x14ac:dyDescent="0.25">
      <c r="A426" s="1">
        <v>44621</v>
      </c>
      <c r="B426">
        <v>2022</v>
      </c>
      <c r="C426" s="1">
        <v>44619</v>
      </c>
      <c r="D426" s="1">
        <v>44620</v>
      </c>
      <c r="E426" t="s">
        <v>70</v>
      </c>
      <c r="F426">
        <v>27</v>
      </c>
      <c r="G426" t="s">
        <v>172</v>
      </c>
    </row>
    <row r="427" spans="1:7" x14ac:dyDescent="0.25">
      <c r="A427" s="1">
        <v>44622</v>
      </c>
      <c r="B427">
        <v>2022</v>
      </c>
      <c r="C427" s="1">
        <v>44619</v>
      </c>
      <c r="D427" s="1">
        <v>44620</v>
      </c>
      <c r="E427" t="s">
        <v>70</v>
      </c>
      <c r="F427">
        <v>27</v>
      </c>
      <c r="G427" t="s">
        <v>173</v>
      </c>
    </row>
    <row r="428" spans="1:7" x14ac:dyDescent="0.25">
      <c r="A428" s="1">
        <v>44623</v>
      </c>
      <c r="B428">
        <v>2022</v>
      </c>
      <c r="C428" s="1">
        <v>44619</v>
      </c>
      <c r="D428" s="1">
        <v>44620</v>
      </c>
      <c r="E428" t="s">
        <v>70</v>
      </c>
      <c r="F428">
        <v>27</v>
      </c>
      <c r="G428" t="s">
        <v>174</v>
      </c>
    </row>
    <row r="429" spans="1:7" x14ac:dyDescent="0.25">
      <c r="A429" s="1">
        <v>44624</v>
      </c>
      <c r="B429">
        <v>2022</v>
      </c>
      <c r="C429" s="1">
        <v>44619</v>
      </c>
      <c r="D429" s="1">
        <v>44620</v>
      </c>
      <c r="E429" t="s">
        <v>70</v>
      </c>
      <c r="F429">
        <v>27</v>
      </c>
      <c r="G429" t="s">
        <v>168</v>
      </c>
    </row>
    <row r="430" spans="1:7" x14ac:dyDescent="0.25">
      <c r="A430" s="1">
        <v>44625</v>
      </c>
      <c r="B430">
        <v>2022</v>
      </c>
      <c r="C430" s="1">
        <v>44619</v>
      </c>
      <c r="D430" s="1">
        <v>44620</v>
      </c>
      <c r="E430" t="s">
        <v>70</v>
      </c>
      <c r="F430">
        <v>27</v>
      </c>
      <c r="G430" t="s">
        <v>169</v>
      </c>
    </row>
    <row r="431" spans="1:7" x14ac:dyDescent="0.25">
      <c r="A431" s="1">
        <v>44626</v>
      </c>
      <c r="B431">
        <v>2022</v>
      </c>
      <c r="C431" s="1">
        <v>44626</v>
      </c>
      <c r="D431" s="1">
        <v>44620</v>
      </c>
      <c r="E431" t="s">
        <v>70</v>
      </c>
      <c r="F431">
        <v>27</v>
      </c>
      <c r="G431" t="s">
        <v>170</v>
      </c>
    </row>
    <row r="432" spans="1:7" x14ac:dyDescent="0.25">
      <c r="A432" s="1">
        <v>44627</v>
      </c>
      <c r="B432">
        <v>2022</v>
      </c>
      <c r="C432" s="1">
        <v>44626</v>
      </c>
      <c r="D432" s="1">
        <v>44627</v>
      </c>
      <c r="E432" t="s">
        <v>71</v>
      </c>
      <c r="F432">
        <v>28</v>
      </c>
      <c r="G432" t="s">
        <v>171</v>
      </c>
    </row>
    <row r="433" spans="1:7" x14ac:dyDescent="0.25">
      <c r="A433" s="1">
        <v>44628</v>
      </c>
      <c r="B433">
        <v>2022</v>
      </c>
      <c r="C433" s="1">
        <v>44626</v>
      </c>
      <c r="D433" s="1">
        <v>44627</v>
      </c>
      <c r="E433" t="s">
        <v>71</v>
      </c>
      <c r="F433">
        <v>28</v>
      </c>
      <c r="G433" t="s">
        <v>172</v>
      </c>
    </row>
    <row r="434" spans="1:7" x14ac:dyDescent="0.25">
      <c r="A434" s="1">
        <v>44629</v>
      </c>
      <c r="B434">
        <v>2022</v>
      </c>
      <c r="C434" s="1">
        <v>44626</v>
      </c>
      <c r="D434" s="1">
        <v>44627</v>
      </c>
      <c r="E434" t="s">
        <v>71</v>
      </c>
      <c r="F434">
        <v>28</v>
      </c>
      <c r="G434" t="s">
        <v>173</v>
      </c>
    </row>
    <row r="435" spans="1:7" x14ac:dyDescent="0.25">
      <c r="A435" s="1">
        <v>44630</v>
      </c>
      <c r="B435">
        <v>2022</v>
      </c>
      <c r="C435" s="1">
        <v>44626</v>
      </c>
      <c r="D435" s="1">
        <v>44627</v>
      </c>
      <c r="E435" t="s">
        <v>71</v>
      </c>
      <c r="F435">
        <v>28</v>
      </c>
      <c r="G435" t="s">
        <v>174</v>
      </c>
    </row>
    <row r="436" spans="1:7" x14ac:dyDescent="0.25">
      <c r="A436" s="1">
        <v>44631</v>
      </c>
      <c r="B436">
        <v>2022</v>
      </c>
      <c r="C436" s="1">
        <v>44626</v>
      </c>
      <c r="D436" s="1">
        <v>44627</v>
      </c>
      <c r="E436" t="s">
        <v>71</v>
      </c>
      <c r="F436">
        <v>28</v>
      </c>
      <c r="G436" t="s">
        <v>168</v>
      </c>
    </row>
    <row r="437" spans="1:7" x14ac:dyDescent="0.25">
      <c r="A437" s="1">
        <v>44632</v>
      </c>
      <c r="B437">
        <v>2022</v>
      </c>
      <c r="C437" s="1">
        <v>44626</v>
      </c>
      <c r="D437" s="1">
        <v>44627</v>
      </c>
      <c r="E437" t="s">
        <v>71</v>
      </c>
      <c r="F437">
        <v>28</v>
      </c>
      <c r="G437" t="s">
        <v>169</v>
      </c>
    </row>
    <row r="438" spans="1:7" x14ac:dyDescent="0.25">
      <c r="A438" s="1">
        <v>44633</v>
      </c>
      <c r="B438">
        <v>2022</v>
      </c>
      <c r="C438" s="1">
        <v>44633</v>
      </c>
      <c r="D438" s="1">
        <v>44627</v>
      </c>
      <c r="E438" t="s">
        <v>71</v>
      </c>
      <c r="F438">
        <v>28</v>
      </c>
      <c r="G438" t="s">
        <v>170</v>
      </c>
    </row>
    <row r="439" spans="1:7" x14ac:dyDescent="0.25">
      <c r="A439" s="1">
        <v>44634</v>
      </c>
      <c r="B439">
        <v>2022</v>
      </c>
      <c r="C439" s="1">
        <v>44633</v>
      </c>
      <c r="D439" s="1">
        <v>44634</v>
      </c>
      <c r="E439" t="s">
        <v>72</v>
      </c>
      <c r="F439">
        <v>29</v>
      </c>
      <c r="G439" t="s">
        <v>171</v>
      </c>
    </row>
    <row r="440" spans="1:7" x14ac:dyDescent="0.25">
      <c r="A440" s="1">
        <v>44635</v>
      </c>
      <c r="B440">
        <v>2022</v>
      </c>
      <c r="C440" s="1">
        <v>44633</v>
      </c>
      <c r="D440" s="1">
        <v>44634</v>
      </c>
      <c r="E440" t="s">
        <v>72</v>
      </c>
      <c r="F440">
        <v>29</v>
      </c>
      <c r="G440" t="s">
        <v>172</v>
      </c>
    </row>
    <row r="441" spans="1:7" x14ac:dyDescent="0.25">
      <c r="A441" s="1">
        <v>44636</v>
      </c>
      <c r="B441">
        <v>2022</v>
      </c>
      <c r="C441" s="1">
        <v>44633</v>
      </c>
      <c r="D441" s="1">
        <v>44634</v>
      </c>
      <c r="E441" t="s">
        <v>72</v>
      </c>
      <c r="F441">
        <v>29</v>
      </c>
      <c r="G441" t="s">
        <v>173</v>
      </c>
    </row>
    <row r="442" spans="1:7" x14ac:dyDescent="0.25">
      <c r="A442" s="1">
        <v>44637</v>
      </c>
      <c r="B442">
        <v>2022</v>
      </c>
      <c r="C442" s="1">
        <v>44633</v>
      </c>
      <c r="D442" s="1">
        <v>44634</v>
      </c>
      <c r="E442" t="s">
        <v>72</v>
      </c>
      <c r="F442">
        <v>29</v>
      </c>
      <c r="G442" t="s">
        <v>174</v>
      </c>
    </row>
    <row r="443" spans="1:7" x14ac:dyDescent="0.25">
      <c r="A443" s="1">
        <v>44638</v>
      </c>
      <c r="B443">
        <v>2022</v>
      </c>
      <c r="C443" s="1">
        <v>44633</v>
      </c>
      <c r="D443" s="1">
        <v>44634</v>
      </c>
      <c r="E443" t="s">
        <v>72</v>
      </c>
      <c r="F443">
        <v>29</v>
      </c>
      <c r="G443" t="s">
        <v>168</v>
      </c>
    </row>
    <row r="444" spans="1:7" x14ac:dyDescent="0.25">
      <c r="A444" s="1">
        <v>44639</v>
      </c>
      <c r="B444">
        <v>2022</v>
      </c>
      <c r="C444" s="1">
        <v>44633</v>
      </c>
      <c r="D444" s="1">
        <v>44634</v>
      </c>
      <c r="E444" t="s">
        <v>72</v>
      </c>
      <c r="F444">
        <v>29</v>
      </c>
      <c r="G444" t="s">
        <v>169</v>
      </c>
    </row>
    <row r="445" spans="1:7" x14ac:dyDescent="0.25">
      <c r="A445" s="1">
        <v>44640</v>
      </c>
      <c r="B445">
        <v>2022</v>
      </c>
      <c r="C445" s="1">
        <v>44640</v>
      </c>
      <c r="D445" s="1">
        <v>44634</v>
      </c>
      <c r="E445" t="s">
        <v>72</v>
      </c>
      <c r="F445">
        <v>29</v>
      </c>
      <c r="G445" t="s">
        <v>170</v>
      </c>
    </row>
    <row r="446" spans="1:7" x14ac:dyDescent="0.25">
      <c r="A446" s="1">
        <v>44641</v>
      </c>
      <c r="B446">
        <v>2022</v>
      </c>
      <c r="C446" s="1">
        <v>44640</v>
      </c>
      <c r="D446" s="1">
        <v>44641</v>
      </c>
      <c r="E446" t="s">
        <v>73</v>
      </c>
      <c r="F446">
        <v>30</v>
      </c>
      <c r="G446" t="s">
        <v>171</v>
      </c>
    </row>
    <row r="447" spans="1:7" x14ac:dyDescent="0.25">
      <c r="A447" s="1">
        <v>44642</v>
      </c>
      <c r="B447">
        <v>2022</v>
      </c>
      <c r="C447" s="1">
        <v>44640</v>
      </c>
      <c r="D447" s="1">
        <v>44641</v>
      </c>
      <c r="E447" t="s">
        <v>73</v>
      </c>
      <c r="F447">
        <v>30</v>
      </c>
      <c r="G447" t="s">
        <v>172</v>
      </c>
    </row>
    <row r="448" spans="1:7" x14ac:dyDescent="0.25">
      <c r="A448" s="1">
        <v>44643</v>
      </c>
      <c r="B448">
        <v>2022</v>
      </c>
      <c r="C448" s="1">
        <v>44640</v>
      </c>
      <c r="D448" s="1">
        <v>44641</v>
      </c>
      <c r="E448" t="s">
        <v>73</v>
      </c>
      <c r="F448">
        <v>30</v>
      </c>
      <c r="G448" t="s">
        <v>173</v>
      </c>
    </row>
    <row r="449" spans="1:7" x14ac:dyDescent="0.25">
      <c r="A449" s="1">
        <v>44644</v>
      </c>
      <c r="B449">
        <v>2022</v>
      </c>
      <c r="C449" s="1">
        <v>44640</v>
      </c>
      <c r="D449" s="1">
        <v>44641</v>
      </c>
      <c r="E449" t="s">
        <v>73</v>
      </c>
      <c r="F449">
        <v>30</v>
      </c>
      <c r="G449" t="s">
        <v>174</v>
      </c>
    </row>
    <row r="450" spans="1:7" x14ac:dyDescent="0.25">
      <c r="A450" s="1">
        <v>44645</v>
      </c>
      <c r="B450">
        <v>2022</v>
      </c>
      <c r="C450" s="1">
        <v>44640</v>
      </c>
      <c r="D450" s="1">
        <v>44641</v>
      </c>
      <c r="E450" t="s">
        <v>73</v>
      </c>
      <c r="F450">
        <v>30</v>
      </c>
      <c r="G450" t="s">
        <v>168</v>
      </c>
    </row>
    <row r="451" spans="1:7" x14ac:dyDescent="0.25">
      <c r="A451" s="1">
        <v>44646</v>
      </c>
      <c r="B451">
        <v>2022</v>
      </c>
      <c r="C451" s="1">
        <v>44640</v>
      </c>
      <c r="D451" s="1">
        <v>44641</v>
      </c>
      <c r="E451" t="s">
        <v>73</v>
      </c>
      <c r="F451">
        <v>30</v>
      </c>
      <c r="G451" t="s">
        <v>169</v>
      </c>
    </row>
    <row r="452" spans="1:7" x14ac:dyDescent="0.25">
      <c r="A452" s="1">
        <v>44647</v>
      </c>
      <c r="B452">
        <v>2022</v>
      </c>
      <c r="C452" s="1">
        <v>44647</v>
      </c>
      <c r="D452" s="1">
        <v>44641</v>
      </c>
      <c r="E452" t="s">
        <v>73</v>
      </c>
      <c r="F452">
        <v>30</v>
      </c>
      <c r="G452" t="s">
        <v>170</v>
      </c>
    </row>
    <row r="453" spans="1:7" x14ac:dyDescent="0.25">
      <c r="A453" s="1">
        <v>44648</v>
      </c>
      <c r="B453">
        <v>2022</v>
      </c>
      <c r="C453" s="1">
        <v>44647</v>
      </c>
      <c r="D453" s="1">
        <v>44648</v>
      </c>
      <c r="E453" t="s">
        <v>74</v>
      </c>
      <c r="F453">
        <v>31</v>
      </c>
      <c r="G453" t="s">
        <v>171</v>
      </c>
    </row>
    <row r="454" spans="1:7" x14ac:dyDescent="0.25">
      <c r="A454" s="1">
        <v>44649</v>
      </c>
      <c r="B454">
        <v>2022</v>
      </c>
      <c r="C454" s="1">
        <v>44647</v>
      </c>
      <c r="D454" s="1">
        <v>44648</v>
      </c>
      <c r="E454" t="s">
        <v>74</v>
      </c>
      <c r="F454">
        <v>31</v>
      </c>
      <c r="G454" t="s">
        <v>172</v>
      </c>
    </row>
    <row r="455" spans="1:7" x14ac:dyDescent="0.25">
      <c r="A455" s="1">
        <v>44650</v>
      </c>
      <c r="B455">
        <v>2022</v>
      </c>
      <c r="C455" s="1">
        <v>44647</v>
      </c>
      <c r="D455" s="1">
        <v>44648</v>
      </c>
      <c r="E455" t="s">
        <v>74</v>
      </c>
      <c r="F455">
        <v>31</v>
      </c>
      <c r="G455" t="s">
        <v>173</v>
      </c>
    </row>
    <row r="456" spans="1:7" x14ac:dyDescent="0.25">
      <c r="A456" s="1">
        <v>44651</v>
      </c>
      <c r="B456">
        <v>2022</v>
      </c>
      <c r="C456" s="1">
        <v>44647</v>
      </c>
      <c r="D456" s="1">
        <v>44648</v>
      </c>
      <c r="E456" t="s">
        <v>74</v>
      </c>
      <c r="F456">
        <v>31</v>
      </c>
      <c r="G456" t="s">
        <v>174</v>
      </c>
    </row>
    <row r="457" spans="1:7" x14ac:dyDescent="0.25">
      <c r="A457" s="1">
        <v>44652</v>
      </c>
      <c r="B457">
        <v>2022</v>
      </c>
      <c r="C457" s="1">
        <v>44647</v>
      </c>
      <c r="D457" s="1">
        <v>44648</v>
      </c>
      <c r="E457" t="s">
        <v>74</v>
      </c>
      <c r="F457">
        <v>31</v>
      </c>
      <c r="G457" t="s">
        <v>168</v>
      </c>
    </row>
    <row r="458" spans="1:7" x14ac:dyDescent="0.25">
      <c r="A458" s="1">
        <v>44653</v>
      </c>
      <c r="B458">
        <v>2022</v>
      </c>
      <c r="C458" s="1">
        <v>44647</v>
      </c>
      <c r="D458" s="1">
        <v>44648</v>
      </c>
      <c r="E458" t="s">
        <v>74</v>
      </c>
      <c r="F458">
        <v>31</v>
      </c>
      <c r="G458" t="s">
        <v>169</v>
      </c>
    </row>
    <row r="459" spans="1:7" x14ac:dyDescent="0.25">
      <c r="A459" s="1">
        <v>44654</v>
      </c>
      <c r="B459">
        <v>2022</v>
      </c>
      <c r="C459" s="1">
        <v>44654</v>
      </c>
      <c r="D459" s="1">
        <v>44648</v>
      </c>
      <c r="E459" t="s">
        <v>74</v>
      </c>
      <c r="F459">
        <v>31</v>
      </c>
      <c r="G459" t="s">
        <v>170</v>
      </c>
    </row>
    <row r="460" spans="1:7" x14ac:dyDescent="0.25">
      <c r="A460" s="1">
        <v>44655</v>
      </c>
      <c r="B460">
        <v>2022</v>
      </c>
      <c r="C460" s="1">
        <v>44654</v>
      </c>
      <c r="D460" s="1">
        <v>44655</v>
      </c>
      <c r="E460" t="s">
        <v>75</v>
      </c>
      <c r="F460">
        <v>32</v>
      </c>
      <c r="G460" t="s">
        <v>171</v>
      </c>
    </row>
    <row r="461" spans="1:7" x14ac:dyDescent="0.25">
      <c r="A461" s="1">
        <v>44656</v>
      </c>
      <c r="B461">
        <v>2022</v>
      </c>
      <c r="C461" s="1">
        <v>44654</v>
      </c>
      <c r="D461" s="1">
        <v>44655</v>
      </c>
      <c r="E461" t="s">
        <v>75</v>
      </c>
      <c r="F461">
        <v>32</v>
      </c>
      <c r="G461" t="s">
        <v>172</v>
      </c>
    </row>
    <row r="462" spans="1:7" x14ac:dyDescent="0.25">
      <c r="A462" s="1">
        <v>44657</v>
      </c>
      <c r="B462">
        <v>2022</v>
      </c>
      <c r="C462" s="1">
        <v>44654</v>
      </c>
      <c r="D462" s="1">
        <v>44655</v>
      </c>
      <c r="E462" t="s">
        <v>75</v>
      </c>
      <c r="F462">
        <v>32</v>
      </c>
      <c r="G462" t="s">
        <v>173</v>
      </c>
    </row>
    <row r="463" spans="1:7" x14ac:dyDescent="0.25">
      <c r="A463" s="1">
        <v>44658</v>
      </c>
      <c r="B463">
        <v>2022</v>
      </c>
      <c r="C463" s="1">
        <v>44654</v>
      </c>
      <c r="D463" s="1">
        <v>44655</v>
      </c>
      <c r="E463" t="s">
        <v>75</v>
      </c>
      <c r="F463">
        <v>32</v>
      </c>
      <c r="G463" t="s">
        <v>174</v>
      </c>
    </row>
    <row r="464" spans="1:7" x14ac:dyDescent="0.25">
      <c r="A464" s="1">
        <v>44659</v>
      </c>
      <c r="B464">
        <v>2022</v>
      </c>
      <c r="C464" s="1">
        <v>44654</v>
      </c>
      <c r="D464" s="1">
        <v>44655</v>
      </c>
      <c r="E464" t="s">
        <v>75</v>
      </c>
      <c r="F464">
        <v>32</v>
      </c>
      <c r="G464" t="s">
        <v>168</v>
      </c>
    </row>
    <row r="465" spans="1:7" x14ac:dyDescent="0.25">
      <c r="A465" s="1">
        <v>44660</v>
      </c>
      <c r="B465">
        <v>2022</v>
      </c>
      <c r="C465" s="1">
        <v>44654</v>
      </c>
      <c r="D465" s="1">
        <v>44655</v>
      </c>
      <c r="E465" t="s">
        <v>75</v>
      </c>
      <c r="F465">
        <v>32</v>
      </c>
      <c r="G465" t="s">
        <v>169</v>
      </c>
    </row>
    <row r="466" spans="1:7" x14ac:dyDescent="0.25">
      <c r="A466" s="1">
        <v>44661</v>
      </c>
      <c r="B466">
        <v>2022</v>
      </c>
      <c r="C466" s="1">
        <v>44661</v>
      </c>
      <c r="D466" s="1">
        <v>44655</v>
      </c>
      <c r="E466" t="s">
        <v>75</v>
      </c>
      <c r="F466">
        <v>32</v>
      </c>
      <c r="G466" t="s">
        <v>170</v>
      </c>
    </row>
    <row r="467" spans="1:7" x14ac:dyDescent="0.25">
      <c r="A467" s="1">
        <v>44662</v>
      </c>
      <c r="B467">
        <v>2022</v>
      </c>
      <c r="C467" s="1">
        <v>44661</v>
      </c>
      <c r="D467" s="1">
        <v>44662</v>
      </c>
      <c r="E467" t="s">
        <v>76</v>
      </c>
      <c r="F467">
        <v>33</v>
      </c>
      <c r="G467" t="s">
        <v>171</v>
      </c>
    </row>
    <row r="468" spans="1:7" x14ac:dyDescent="0.25">
      <c r="A468" s="1">
        <v>44663</v>
      </c>
      <c r="B468">
        <v>2022</v>
      </c>
      <c r="C468" s="1">
        <v>44661</v>
      </c>
      <c r="D468" s="1">
        <v>44662</v>
      </c>
      <c r="E468" t="s">
        <v>76</v>
      </c>
      <c r="F468">
        <v>33</v>
      </c>
      <c r="G468" t="s">
        <v>172</v>
      </c>
    </row>
    <row r="469" spans="1:7" x14ac:dyDescent="0.25">
      <c r="A469" s="1">
        <v>44664</v>
      </c>
      <c r="B469">
        <v>2022</v>
      </c>
      <c r="C469" s="1">
        <v>44661</v>
      </c>
      <c r="D469" s="1">
        <v>44662</v>
      </c>
      <c r="E469" t="s">
        <v>76</v>
      </c>
      <c r="F469">
        <v>33</v>
      </c>
      <c r="G469" t="s">
        <v>173</v>
      </c>
    </row>
    <row r="470" spans="1:7" x14ac:dyDescent="0.25">
      <c r="A470" s="1">
        <v>44665</v>
      </c>
      <c r="B470">
        <v>2022</v>
      </c>
      <c r="C470" s="1">
        <v>44661</v>
      </c>
      <c r="D470" s="1">
        <v>44662</v>
      </c>
      <c r="E470" t="s">
        <v>76</v>
      </c>
      <c r="F470">
        <v>33</v>
      </c>
      <c r="G470" t="s">
        <v>174</v>
      </c>
    </row>
    <row r="471" spans="1:7" x14ac:dyDescent="0.25">
      <c r="A471" s="1">
        <v>44666</v>
      </c>
      <c r="B471">
        <v>2022</v>
      </c>
      <c r="C471" s="1">
        <v>44661</v>
      </c>
      <c r="D471" s="1">
        <v>44662</v>
      </c>
      <c r="E471" t="s">
        <v>76</v>
      </c>
      <c r="F471">
        <v>33</v>
      </c>
      <c r="G471" t="s">
        <v>168</v>
      </c>
    </row>
    <row r="472" spans="1:7" x14ac:dyDescent="0.25">
      <c r="A472" s="1">
        <v>44667</v>
      </c>
      <c r="B472">
        <v>2022</v>
      </c>
      <c r="C472" s="1">
        <v>44661</v>
      </c>
      <c r="D472" s="1">
        <v>44662</v>
      </c>
      <c r="E472" t="s">
        <v>76</v>
      </c>
      <c r="F472">
        <v>33</v>
      </c>
      <c r="G472" t="s">
        <v>169</v>
      </c>
    </row>
    <row r="473" spans="1:7" x14ac:dyDescent="0.25">
      <c r="A473" s="1">
        <v>44668</v>
      </c>
      <c r="B473">
        <v>2022</v>
      </c>
      <c r="C473" s="1">
        <v>44668</v>
      </c>
      <c r="D473" s="1">
        <v>44662</v>
      </c>
      <c r="E473" t="s">
        <v>76</v>
      </c>
      <c r="F473">
        <v>33</v>
      </c>
      <c r="G473" t="s">
        <v>170</v>
      </c>
    </row>
    <row r="474" spans="1:7" x14ac:dyDescent="0.25">
      <c r="A474" s="1">
        <v>44669</v>
      </c>
      <c r="B474">
        <v>2022</v>
      </c>
      <c r="C474" s="1">
        <v>44668</v>
      </c>
      <c r="D474" s="1">
        <v>44669</v>
      </c>
      <c r="E474" t="s">
        <v>77</v>
      </c>
      <c r="F474">
        <v>34</v>
      </c>
      <c r="G474" t="s">
        <v>171</v>
      </c>
    </row>
    <row r="475" spans="1:7" x14ac:dyDescent="0.25">
      <c r="A475" s="1">
        <v>44670</v>
      </c>
      <c r="B475">
        <v>2022</v>
      </c>
      <c r="C475" s="1">
        <v>44668</v>
      </c>
      <c r="D475" s="1">
        <v>44669</v>
      </c>
      <c r="E475" t="s">
        <v>77</v>
      </c>
      <c r="F475">
        <v>34</v>
      </c>
      <c r="G475" t="s">
        <v>172</v>
      </c>
    </row>
    <row r="476" spans="1:7" x14ac:dyDescent="0.25">
      <c r="A476" s="1">
        <v>44671</v>
      </c>
      <c r="B476">
        <v>2022</v>
      </c>
      <c r="C476" s="1">
        <v>44668</v>
      </c>
      <c r="D476" s="1">
        <v>44669</v>
      </c>
      <c r="E476" t="s">
        <v>77</v>
      </c>
      <c r="F476">
        <v>34</v>
      </c>
      <c r="G476" t="s">
        <v>173</v>
      </c>
    </row>
    <row r="477" spans="1:7" x14ac:dyDescent="0.25">
      <c r="A477" s="1">
        <v>44672</v>
      </c>
      <c r="B477">
        <v>2022</v>
      </c>
      <c r="C477" s="1">
        <v>44668</v>
      </c>
      <c r="D477" s="1">
        <v>44669</v>
      </c>
      <c r="E477" t="s">
        <v>77</v>
      </c>
      <c r="F477">
        <v>34</v>
      </c>
      <c r="G477" t="s">
        <v>174</v>
      </c>
    </row>
    <row r="478" spans="1:7" x14ac:dyDescent="0.25">
      <c r="A478" s="1">
        <v>44673</v>
      </c>
      <c r="B478">
        <v>2022</v>
      </c>
      <c r="C478" s="1">
        <v>44668</v>
      </c>
      <c r="D478" s="1">
        <v>44669</v>
      </c>
      <c r="E478" t="s">
        <v>77</v>
      </c>
      <c r="F478">
        <v>34</v>
      </c>
      <c r="G478" t="s">
        <v>168</v>
      </c>
    </row>
    <row r="479" spans="1:7" x14ac:dyDescent="0.25">
      <c r="A479" s="1">
        <v>44674</v>
      </c>
      <c r="B479">
        <v>2022</v>
      </c>
      <c r="C479" s="1">
        <v>44668</v>
      </c>
      <c r="D479" s="1">
        <v>44669</v>
      </c>
      <c r="E479" t="s">
        <v>77</v>
      </c>
      <c r="F479">
        <v>34</v>
      </c>
      <c r="G479" t="s">
        <v>169</v>
      </c>
    </row>
    <row r="480" spans="1:7" x14ac:dyDescent="0.25">
      <c r="A480" s="1">
        <v>44675</v>
      </c>
      <c r="B480">
        <v>2022</v>
      </c>
      <c r="C480" s="1">
        <v>44675</v>
      </c>
      <c r="D480" s="1">
        <v>44669</v>
      </c>
      <c r="E480" t="s">
        <v>77</v>
      </c>
      <c r="F480">
        <v>34</v>
      </c>
      <c r="G480" t="s">
        <v>170</v>
      </c>
    </row>
    <row r="481" spans="1:7" x14ac:dyDescent="0.25">
      <c r="A481" s="1">
        <v>44676</v>
      </c>
      <c r="B481">
        <v>2022</v>
      </c>
      <c r="C481" s="1">
        <v>44675</v>
      </c>
      <c r="D481" s="1">
        <v>44676</v>
      </c>
      <c r="E481" t="s">
        <v>78</v>
      </c>
      <c r="F481">
        <v>35</v>
      </c>
      <c r="G481" t="s">
        <v>171</v>
      </c>
    </row>
    <row r="482" spans="1:7" x14ac:dyDescent="0.25">
      <c r="A482" s="1">
        <v>44677</v>
      </c>
      <c r="B482">
        <v>2022</v>
      </c>
      <c r="C482" s="1">
        <v>44675</v>
      </c>
      <c r="D482" s="1">
        <v>44676</v>
      </c>
      <c r="E482" t="s">
        <v>78</v>
      </c>
      <c r="F482">
        <v>35</v>
      </c>
      <c r="G482" t="s">
        <v>172</v>
      </c>
    </row>
    <row r="483" spans="1:7" x14ac:dyDescent="0.25">
      <c r="A483" s="1">
        <v>44678</v>
      </c>
      <c r="B483">
        <v>2022</v>
      </c>
      <c r="C483" s="1">
        <v>44675</v>
      </c>
      <c r="D483" s="1">
        <v>44676</v>
      </c>
      <c r="E483" t="s">
        <v>78</v>
      </c>
      <c r="F483">
        <v>35</v>
      </c>
      <c r="G483" t="s">
        <v>173</v>
      </c>
    </row>
    <row r="484" spans="1:7" x14ac:dyDescent="0.25">
      <c r="A484" s="1">
        <v>44679</v>
      </c>
      <c r="B484">
        <v>2022</v>
      </c>
      <c r="C484" s="1">
        <v>44675</v>
      </c>
      <c r="D484" s="1">
        <v>44676</v>
      </c>
      <c r="E484" t="s">
        <v>78</v>
      </c>
      <c r="F484">
        <v>35</v>
      </c>
      <c r="G484" t="s">
        <v>174</v>
      </c>
    </row>
    <row r="485" spans="1:7" x14ac:dyDescent="0.25">
      <c r="A485" s="1">
        <v>44680</v>
      </c>
      <c r="B485">
        <v>2022</v>
      </c>
      <c r="C485" s="1">
        <v>44675</v>
      </c>
      <c r="D485" s="1">
        <v>44676</v>
      </c>
      <c r="E485" t="s">
        <v>78</v>
      </c>
      <c r="F485">
        <v>35</v>
      </c>
      <c r="G485" t="s">
        <v>168</v>
      </c>
    </row>
    <row r="486" spans="1:7" x14ac:dyDescent="0.25">
      <c r="A486" s="1">
        <v>44681</v>
      </c>
      <c r="B486">
        <v>2022</v>
      </c>
      <c r="C486" s="1">
        <v>44675</v>
      </c>
      <c r="D486" s="1">
        <v>44676</v>
      </c>
      <c r="E486" t="s">
        <v>78</v>
      </c>
      <c r="F486">
        <v>35</v>
      </c>
      <c r="G486" t="s">
        <v>169</v>
      </c>
    </row>
    <row r="487" spans="1:7" x14ac:dyDescent="0.25">
      <c r="A487" s="1">
        <v>44682</v>
      </c>
      <c r="B487">
        <v>2022</v>
      </c>
      <c r="C487" s="1">
        <v>44682</v>
      </c>
      <c r="D487" s="1">
        <v>44676</v>
      </c>
      <c r="E487" t="s">
        <v>78</v>
      </c>
      <c r="F487">
        <v>35</v>
      </c>
      <c r="G487" t="s">
        <v>170</v>
      </c>
    </row>
    <row r="488" spans="1:7" x14ac:dyDescent="0.25">
      <c r="A488" s="1">
        <v>44683</v>
      </c>
      <c r="B488">
        <v>2022</v>
      </c>
      <c r="C488" s="1">
        <v>44682</v>
      </c>
      <c r="D488" s="1">
        <v>44683</v>
      </c>
      <c r="E488" t="s">
        <v>79</v>
      </c>
      <c r="F488">
        <v>36</v>
      </c>
      <c r="G488" t="s">
        <v>171</v>
      </c>
    </row>
    <row r="489" spans="1:7" x14ac:dyDescent="0.25">
      <c r="A489" s="1">
        <v>44684</v>
      </c>
      <c r="B489">
        <v>2022</v>
      </c>
      <c r="C489" s="1">
        <v>44682</v>
      </c>
      <c r="D489" s="1">
        <v>44683</v>
      </c>
      <c r="E489" t="s">
        <v>79</v>
      </c>
      <c r="F489">
        <v>36</v>
      </c>
      <c r="G489" t="s">
        <v>172</v>
      </c>
    </row>
    <row r="490" spans="1:7" x14ac:dyDescent="0.25">
      <c r="A490" s="1">
        <v>44685</v>
      </c>
      <c r="B490">
        <v>2022</v>
      </c>
      <c r="C490" s="1">
        <v>44682</v>
      </c>
      <c r="D490" s="1">
        <v>44683</v>
      </c>
      <c r="E490" t="s">
        <v>79</v>
      </c>
      <c r="F490">
        <v>36</v>
      </c>
      <c r="G490" t="s">
        <v>173</v>
      </c>
    </row>
    <row r="491" spans="1:7" x14ac:dyDescent="0.25">
      <c r="A491" s="1">
        <v>44686</v>
      </c>
      <c r="B491">
        <v>2022</v>
      </c>
      <c r="C491" s="1">
        <v>44682</v>
      </c>
      <c r="D491" s="1">
        <v>44683</v>
      </c>
      <c r="E491" t="s">
        <v>79</v>
      </c>
      <c r="F491">
        <v>36</v>
      </c>
      <c r="G491" t="s">
        <v>174</v>
      </c>
    </row>
    <row r="492" spans="1:7" x14ac:dyDescent="0.25">
      <c r="A492" s="1">
        <v>44687</v>
      </c>
      <c r="B492">
        <v>2022</v>
      </c>
      <c r="C492" s="1">
        <v>44682</v>
      </c>
      <c r="D492" s="1">
        <v>44683</v>
      </c>
      <c r="E492" t="s">
        <v>79</v>
      </c>
      <c r="F492">
        <v>36</v>
      </c>
      <c r="G492" t="s">
        <v>168</v>
      </c>
    </row>
    <row r="493" spans="1:7" x14ac:dyDescent="0.25">
      <c r="A493" s="1">
        <v>44688</v>
      </c>
      <c r="B493">
        <v>2022</v>
      </c>
      <c r="C493" s="1">
        <v>44682</v>
      </c>
      <c r="D493" s="1">
        <v>44683</v>
      </c>
      <c r="E493" t="s">
        <v>79</v>
      </c>
      <c r="F493">
        <v>36</v>
      </c>
      <c r="G493" t="s">
        <v>169</v>
      </c>
    </row>
    <row r="494" spans="1:7" x14ac:dyDescent="0.25">
      <c r="A494" s="1">
        <v>44689</v>
      </c>
      <c r="B494">
        <v>2022</v>
      </c>
      <c r="C494" s="1">
        <v>44689</v>
      </c>
      <c r="D494" s="1">
        <v>44683</v>
      </c>
      <c r="E494" t="s">
        <v>79</v>
      </c>
      <c r="F494">
        <v>36</v>
      </c>
      <c r="G494" t="s">
        <v>170</v>
      </c>
    </row>
    <row r="495" spans="1:7" x14ac:dyDescent="0.25">
      <c r="A495" s="1">
        <v>44690</v>
      </c>
      <c r="B495">
        <v>2022</v>
      </c>
      <c r="C495" s="1">
        <v>44689</v>
      </c>
      <c r="D495" s="1">
        <v>44690</v>
      </c>
      <c r="E495" t="s">
        <v>80</v>
      </c>
      <c r="F495">
        <v>37</v>
      </c>
      <c r="G495" t="s">
        <v>171</v>
      </c>
    </row>
    <row r="496" spans="1:7" x14ac:dyDescent="0.25">
      <c r="A496" s="1">
        <v>44691</v>
      </c>
      <c r="B496">
        <v>2022</v>
      </c>
      <c r="C496" s="1">
        <v>44689</v>
      </c>
      <c r="D496" s="1">
        <v>44690</v>
      </c>
      <c r="E496" t="s">
        <v>80</v>
      </c>
      <c r="F496">
        <v>37</v>
      </c>
      <c r="G496" t="s">
        <v>172</v>
      </c>
    </row>
    <row r="497" spans="1:7" x14ac:dyDescent="0.25">
      <c r="A497" s="1">
        <v>44692</v>
      </c>
      <c r="B497">
        <v>2022</v>
      </c>
      <c r="C497" s="1">
        <v>44689</v>
      </c>
      <c r="D497" s="1">
        <v>44690</v>
      </c>
      <c r="E497" t="s">
        <v>80</v>
      </c>
      <c r="F497">
        <v>37</v>
      </c>
      <c r="G497" t="s">
        <v>173</v>
      </c>
    </row>
    <row r="498" spans="1:7" x14ac:dyDescent="0.25">
      <c r="A498" s="1">
        <v>44693</v>
      </c>
      <c r="B498">
        <v>2022</v>
      </c>
      <c r="C498" s="1">
        <v>44689</v>
      </c>
      <c r="D498" s="1">
        <v>44690</v>
      </c>
      <c r="E498" t="s">
        <v>80</v>
      </c>
      <c r="F498">
        <v>37</v>
      </c>
      <c r="G498" t="s">
        <v>174</v>
      </c>
    </row>
    <row r="499" spans="1:7" x14ac:dyDescent="0.25">
      <c r="A499" s="1">
        <v>44694</v>
      </c>
      <c r="B499">
        <v>2022</v>
      </c>
      <c r="C499" s="1">
        <v>44689</v>
      </c>
      <c r="D499" s="1">
        <v>44690</v>
      </c>
      <c r="E499" t="s">
        <v>80</v>
      </c>
      <c r="F499">
        <v>37</v>
      </c>
      <c r="G499" t="s">
        <v>168</v>
      </c>
    </row>
    <row r="500" spans="1:7" x14ac:dyDescent="0.25">
      <c r="A500" s="1">
        <v>44695</v>
      </c>
      <c r="B500">
        <v>2022</v>
      </c>
      <c r="C500" s="1">
        <v>44689</v>
      </c>
      <c r="D500" s="1">
        <v>44690</v>
      </c>
      <c r="E500" t="s">
        <v>80</v>
      </c>
      <c r="F500">
        <v>37</v>
      </c>
      <c r="G500" t="s">
        <v>169</v>
      </c>
    </row>
    <row r="501" spans="1:7" x14ac:dyDescent="0.25">
      <c r="A501" s="1">
        <v>44696</v>
      </c>
      <c r="B501">
        <v>2022</v>
      </c>
      <c r="C501" s="1">
        <v>44696</v>
      </c>
      <c r="D501" s="1">
        <v>44690</v>
      </c>
      <c r="E501" t="s">
        <v>80</v>
      </c>
      <c r="F501">
        <v>37</v>
      </c>
      <c r="G501" t="s">
        <v>170</v>
      </c>
    </row>
    <row r="502" spans="1:7" x14ac:dyDescent="0.25">
      <c r="A502" s="1">
        <v>44697</v>
      </c>
      <c r="B502">
        <v>2022</v>
      </c>
      <c r="C502" s="1">
        <v>44696</v>
      </c>
      <c r="D502" s="1">
        <v>44697</v>
      </c>
      <c r="E502" t="s">
        <v>81</v>
      </c>
      <c r="F502">
        <v>38</v>
      </c>
      <c r="G502" t="s">
        <v>171</v>
      </c>
    </row>
    <row r="503" spans="1:7" x14ac:dyDescent="0.25">
      <c r="A503" s="1">
        <v>44698</v>
      </c>
      <c r="B503">
        <v>2022</v>
      </c>
      <c r="C503" s="1">
        <v>44696</v>
      </c>
      <c r="D503" s="1">
        <v>44697</v>
      </c>
      <c r="E503" t="s">
        <v>81</v>
      </c>
      <c r="F503">
        <v>38</v>
      </c>
      <c r="G503" t="s">
        <v>172</v>
      </c>
    </row>
    <row r="504" spans="1:7" x14ac:dyDescent="0.25">
      <c r="A504" s="1">
        <v>44699</v>
      </c>
      <c r="B504">
        <v>2022</v>
      </c>
      <c r="C504" s="1">
        <v>44696</v>
      </c>
      <c r="D504" s="1">
        <v>44697</v>
      </c>
      <c r="E504" t="s">
        <v>81</v>
      </c>
      <c r="F504">
        <v>38</v>
      </c>
      <c r="G504" t="s">
        <v>173</v>
      </c>
    </row>
    <row r="505" spans="1:7" x14ac:dyDescent="0.25">
      <c r="A505" s="1">
        <v>44700</v>
      </c>
      <c r="B505">
        <v>2022</v>
      </c>
      <c r="C505" s="1">
        <v>44696</v>
      </c>
      <c r="D505" s="1">
        <v>44697</v>
      </c>
      <c r="E505" t="s">
        <v>81</v>
      </c>
      <c r="F505">
        <v>38</v>
      </c>
      <c r="G505" t="s">
        <v>174</v>
      </c>
    </row>
    <row r="506" spans="1:7" x14ac:dyDescent="0.25">
      <c r="A506" s="1">
        <v>44701</v>
      </c>
      <c r="B506">
        <v>2022</v>
      </c>
      <c r="C506" s="1">
        <v>44696</v>
      </c>
      <c r="D506" s="1">
        <v>44697</v>
      </c>
      <c r="E506" t="s">
        <v>81</v>
      </c>
      <c r="F506">
        <v>38</v>
      </c>
      <c r="G506" t="s">
        <v>168</v>
      </c>
    </row>
    <row r="507" spans="1:7" x14ac:dyDescent="0.25">
      <c r="A507" s="1">
        <v>44702</v>
      </c>
      <c r="B507">
        <v>2022</v>
      </c>
      <c r="C507" s="1">
        <v>44696</v>
      </c>
      <c r="D507" s="1">
        <v>44697</v>
      </c>
      <c r="E507" t="s">
        <v>81</v>
      </c>
      <c r="F507">
        <v>38</v>
      </c>
      <c r="G507" t="s">
        <v>169</v>
      </c>
    </row>
    <row r="508" spans="1:7" x14ac:dyDescent="0.25">
      <c r="A508" s="1">
        <v>44703</v>
      </c>
      <c r="B508">
        <v>2022</v>
      </c>
      <c r="C508" s="1">
        <v>44703</v>
      </c>
      <c r="D508" s="1">
        <v>44697</v>
      </c>
      <c r="E508" t="s">
        <v>81</v>
      </c>
      <c r="F508">
        <v>38</v>
      </c>
      <c r="G508" t="s">
        <v>170</v>
      </c>
    </row>
    <row r="509" spans="1:7" x14ac:dyDescent="0.25">
      <c r="A509" s="1">
        <v>44704</v>
      </c>
      <c r="B509">
        <v>2022</v>
      </c>
      <c r="C509" s="1">
        <v>44703</v>
      </c>
      <c r="D509" s="1">
        <v>44704</v>
      </c>
      <c r="E509" t="s">
        <v>82</v>
      </c>
      <c r="F509">
        <v>39</v>
      </c>
      <c r="G509" t="s">
        <v>171</v>
      </c>
    </row>
    <row r="510" spans="1:7" x14ac:dyDescent="0.25">
      <c r="A510" s="1">
        <v>44705</v>
      </c>
      <c r="B510">
        <v>2022</v>
      </c>
      <c r="C510" s="1">
        <v>44703</v>
      </c>
      <c r="D510" s="1">
        <v>44704</v>
      </c>
      <c r="E510" t="s">
        <v>82</v>
      </c>
      <c r="F510">
        <v>39</v>
      </c>
      <c r="G510" t="s">
        <v>172</v>
      </c>
    </row>
    <row r="511" spans="1:7" x14ac:dyDescent="0.25">
      <c r="A511" s="1">
        <v>44706</v>
      </c>
      <c r="B511">
        <v>2022</v>
      </c>
      <c r="C511" s="1">
        <v>44703</v>
      </c>
      <c r="D511" s="1">
        <v>44704</v>
      </c>
      <c r="E511" t="s">
        <v>82</v>
      </c>
      <c r="F511">
        <v>39</v>
      </c>
      <c r="G511" t="s">
        <v>173</v>
      </c>
    </row>
    <row r="512" spans="1:7" x14ac:dyDescent="0.25">
      <c r="A512" s="1">
        <v>44707</v>
      </c>
      <c r="B512">
        <v>2022</v>
      </c>
      <c r="C512" s="1">
        <v>44703</v>
      </c>
      <c r="D512" s="1">
        <v>44704</v>
      </c>
      <c r="E512" t="s">
        <v>82</v>
      </c>
      <c r="F512">
        <v>39</v>
      </c>
      <c r="G512" t="s">
        <v>174</v>
      </c>
    </row>
    <row r="513" spans="1:7" x14ac:dyDescent="0.25">
      <c r="A513" s="1">
        <v>44708</v>
      </c>
      <c r="B513">
        <v>2022</v>
      </c>
      <c r="C513" s="1">
        <v>44703</v>
      </c>
      <c r="D513" s="1">
        <v>44704</v>
      </c>
      <c r="E513" t="s">
        <v>82</v>
      </c>
      <c r="F513">
        <v>39</v>
      </c>
      <c r="G513" t="s">
        <v>168</v>
      </c>
    </row>
    <row r="514" spans="1:7" x14ac:dyDescent="0.25">
      <c r="A514" s="1">
        <v>44709</v>
      </c>
      <c r="B514">
        <v>2022</v>
      </c>
      <c r="C514" s="1">
        <v>44703</v>
      </c>
      <c r="D514" s="1">
        <v>44704</v>
      </c>
      <c r="E514" t="s">
        <v>82</v>
      </c>
      <c r="F514">
        <v>39</v>
      </c>
      <c r="G514" t="s">
        <v>169</v>
      </c>
    </row>
    <row r="515" spans="1:7" x14ac:dyDescent="0.25">
      <c r="A515" s="1">
        <v>44710</v>
      </c>
      <c r="B515">
        <v>2022</v>
      </c>
      <c r="C515" s="1">
        <v>44710</v>
      </c>
      <c r="D515" s="1">
        <v>44704</v>
      </c>
      <c r="E515" t="s">
        <v>82</v>
      </c>
      <c r="F515">
        <v>39</v>
      </c>
      <c r="G515" t="s">
        <v>170</v>
      </c>
    </row>
    <row r="516" spans="1:7" x14ac:dyDescent="0.25">
      <c r="A516" s="1">
        <v>44711</v>
      </c>
      <c r="B516">
        <v>2022</v>
      </c>
      <c r="C516" s="1">
        <v>44710</v>
      </c>
      <c r="D516" s="1">
        <v>44711</v>
      </c>
      <c r="E516" t="s">
        <v>83</v>
      </c>
      <c r="F516">
        <v>40</v>
      </c>
      <c r="G516" t="s">
        <v>171</v>
      </c>
    </row>
    <row r="517" spans="1:7" x14ac:dyDescent="0.25">
      <c r="A517" s="1">
        <v>44712</v>
      </c>
      <c r="B517">
        <v>2022</v>
      </c>
      <c r="C517" s="1">
        <v>44710</v>
      </c>
      <c r="D517" s="1">
        <v>44711</v>
      </c>
      <c r="E517" t="s">
        <v>83</v>
      </c>
      <c r="F517">
        <v>40</v>
      </c>
      <c r="G517" t="s">
        <v>172</v>
      </c>
    </row>
    <row r="518" spans="1:7" x14ac:dyDescent="0.25">
      <c r="A518" s="1">
        <v>44713</v>
      </c>
      <c r="B518">
        <v>2022</v>
      </c>
      <c r="C518" s="1">
        <v>44710</v>
      </c>
      <c r="D518" s="1">
        <v>44711</v>
      </c>
      <c r="E518" t="s">
        <v>83</v>
      </c>
      <c r="F518">
        <v>40</v>
      </c>
      <c r="G518" t="s">
        <v>173</v>
      </c>
    </row>
    <row r="519" spans="1:7" x14ac:dyDescent="0.25">
      <c r="A519" s="1">
        <v>44714</v>
      </c>
      <c r="B519">
        <v>2022</v>
      </c>
      <c r="C519" s="1">
        <v>44710</v>
      </c>
      <c r="D519" s="1">
        <v>44711</v>
      </c>
      <c r="E519" t="s">
        <v>83</v>
      </c>
      <c r="F519">
        <v>40</v>
      </c>
      <c r="G519" t="s">
        <v>174</v>
      </c>
    </row>
    <row r="520" spans="1:7" x14ac:dyDescent="0.25">
      <c r="A520" s="1">
        <v>44715</v>
      </c>
      <c r="B520">
        <v>2022</v>
      </c>
      <c r="C520" s="1">
        <v>44710</v>
      </c>
      <c r="D520" s="1">
        <v>44711</v>
      </c>
      <c r="E520" t="s">
        <v>83</v>
      </c>
      <c r="F520">
        <v>40</v>
      </c>
      <c r="G520" t="s">
        <v>168</v>
      </c>
    </row>
    <row r="521" spans="1:7" x14ac:dyDescent="0.25">
      <c r="A521" s="1">
        <v>44716</v>
      </c>
      <c r="B521">
        <v>2022</v>
      </c>
      <c r="C521" s="1">
        <v>44710</v>
      </c>
      <c r="D521" s="1">
        <v>44711</v>
      </c>
      <c r="E521" t="s">
        <v>83</v>
      </c>
      <c r="F521">
        <v>40</v>
      </c>
      <c r="G521" t="s">
        <v>169</v>
      </c>
    </row>
    <row r="522" spans="1:7" x14ac:dyDescent="0.25">
      <c r="A522" s="1">
        <v>44717</v>
      </c>
      <c r="B522">
        <v>2022</v>
      </c>
      <c r="C522" s="1">
        <v>44717</v>
      </c>
      <c r="D522" s="1">
        <v>44711</v>
      </c>
      <c r="E522" t="s">
        <v>83</v>
      </c>
      <c r="F522">
        <v>40</v>
      </c>
      <c r="G522" t="s">
        <v>170</v>
      </c>
    </row>
    <row r="523" spans="1:7" x14ac:dyDescent="0.25">
      <c r="A523" s="1">
        <v>44718</v>
      </c>
      <c r="B523">
        <v>2022</v>
      </c>
      <c r="C523" s="1">
        <v>44717</v>
      </c>
      <c r="D523" s="1">
        <v>44718</v>
      </c>
      <c r="E523" t="s">
        <v>84</v>
      </c>
      <c r="F523">
        <v>41</v>
      </c>
      <c r="G523" t="s">
        <v>171</v>
      </c>
    </row>
    <row r="524" spans="1:7" x14ac:dyDescent="0.25">
      <c r="A524" s="1">
        <v>44719</v>
      </c>
      <c r="B524">
        <v>2022</v>
      </c>
      <c r="C524" s="1">
        <v>44717</v>
      </c>
      <c r="D524" s="1">
        <v>44718</v>
      </c>
      <c r="E524" t="s">
        <v>84</v>
      </c>
      <c r="F524">
        <v>41</v>
      </c>
      <c r="G524" t="s">
        <v>172</v>
      </c>
    </row>
    <row r="525" spans="1:7" x14ac:dyDescent="0.25">
      <c r="A525" s="1">
        <v>44720</v>
      </c>
      <c r="B525">
        <v>2022</v>
      </c>
      <c r="C525" s="1">
        <v>44717</v>
      </c>
      <c r="D525" s="1">
        <v>44718</v>
      </c>
      <c r="E525" t="s">
        <v>84</v>
      </c>
      <c r="F525">
        <v>41</v>
      </c>
      <c r="G525" t="s">
        <v>173</v>
      </c>
    </row>
    <row r="526" spans="1:7" x14ac:dyDescent="0.25">
      <c r="A526" s="1">
        <v>44721</v>
      </c>
      <c r="B526">
        <v>2022</v>
      </c>
      <c r="C526" s="1">
        <v>44717</v>
      </c>
      <c r="D526" s="1">
        <v>44718</v>
      </c>
      <c r="E526" t="s">
        <v>84</v>
      </c>
      <c r="F526">
        <v>41</v>
      </c>
      <c r="G526" t="s">
        <v>174</v>
      </c>
    </row>
    <row r="527" spans="1:7" x14ac:dyDescent="0.25">
      <c r="A527" s="1">
        <v>44722</v>
      </c>
      <c r="B527">
        <v>2022</v>
      </c>
      <c r="C527" s="1">
        <v>44717</v>
      </c>
      <c r="D527" s="1">
        <v>44718</v>
      </c>
      <c r="E527" t="s">
        <v>84</v>
      </c>
      <c r="F527">
        <v>41</v>
      </c>
      <c r="G527" t="s">
        <v>168</v>
      </c>
    </row>
    <row r="528" spans="1:7" x14ac:dyDescent="0.25">
      <c r="A528" s="1">
        <v>44723</v>
      </c>
      <c r="B528">
        <v>2022</v>
      </c>
      <c r="C528" s="1">
        <v>44717</v>
      </c>
      <c r="D528" s="1">
        <v>44718</v>
      </c>
      <c r="E528" t="s">
        <v>84</v>
      </c>
      <c r="F528">
        <v>41</v>
      </c>
      <c r="G528" t="s">
        <v>169</v>
      </c>
    </row>
    <row r="529" spans="1:7" x14ac:dyDescent="0.25">
      <c r="A529" s="1">
        <v>44724</v>
      </c>
      <c r="B529">
        <v>2022</v>
      </c>
      <c r="C529" s="1">
        <v>44724</v>
      </c>
      <c r="D529" s="1">
        <v>44718</v>
      </c>
      <c r="E529" t="s">
        <v>84</v>
      </c>
      <c r="F529">
        <v>41</v>
      </c>
      <c r="G529" t="s">
        <v>170</v>
      </c>
    </row>
    <row r="530" spans="1:7" x14ac:dyDescent="0.25">
      <c r="A530" s="1">
        <v>44725</v>
      </c>
      <c r="B530">
        <v>2022</v>
      </c>
      <c r="C530" s="1">
        <v>44724</v>
      </c>
      <c r="D530" s="1">
        <v>44725</v>
      </c>
      <c r="E530" t="s">
        <v>85</v>
      </c>
      <c r="F530">
        <v>42</v>
      </c>
      <c r="G530" t="s">
        <v>171</v>
      </c>
    </row>
    <row r="531" spans="1:7" x14ac:dyDescent="0.25">
      <c r="A531" s="1">
        <v>44726</v>
      </c>
      <c r="B531">
        <v>2022</v>
      </c>
      <c r="C531" s="1">
        <v>44724</v>
      </c>
      <c r="D531" s="1">
        <v>44725</v>
      </c>
      <c r="E531" t="s">
        <v>85</v>
      </c>
      <c r="F531">
        <v>42</v>
      </c>
      <c r="G531" t="s">
        <v>172</v>
      </c>
    </row>
    <row r="532" spans="1:7" x14ac:dyDescent="0.25">
      <c r="A532" s="1">
        <v>44727</v>
      </c>
      <c r="B532">
        <v>2022</v>
      </c>
      <c r="C532" s="1">
        <v>44724</v>
      </c>
      <c r="D532" s="1">
        <v>44725</v>
      </c>
      <c r="E532" t="s">
        <v>85</v>
      </c>
      <c r="F532">
        <v>42</v>
      </c>
      <c r="G532" t="s">
        <v>173</v>
      </c>
    </row>
    <row r="533" spans="1:7" x14ac:dyDescent="0.25">
      <c r="A533" s="1">
        <v>44728</v>
      </c>
      <c r="B533">
        <v>2022</v>
      </c>
      <c r="C533" s="1">
        <v>44724</v>
      </c>
      <c r="D533" s="1">
        <v>44725</v>
      </c>
      <c r="E533" t="s">
        <v>85</v>
      </c>
      <c r="F533">
        <v>42</v>
      </c>
      <c r="G533" t="s">
        <v>174</v>
      </c>
    </row>
    <row r="534" spans="1:7" x14ac:dyDescent="0.25">
      <c r="A534" s="1">
        <v>44729</v>
      </c>
      <c r="B534">
        <v>2022</v>
      </c>
      <c r="C534" s="1">
        <v>44724</v>
      </c>
      <c r="D534" s="1">
        <v>44725</v>
      </c>
      <c r="E534" t="s">
        <v>85</v>
      </c>
      <c r="F534">
        <v>42</v>
      </c>
      <c r="G534" t="s">
        <v>168</v>
      </c>
    </row>
    <row r="535" spans="1:7" x14ac:dyDescent="0.25">
      <c r="A535" s="1">
        <v>44730</v>
      </c>
      <c r="B535">
        <v>2022</v>
      </c>
      <c r="C535" s="1">
        <v>44724</v>
      </c>
      <c r="D535" s="1">
        <v>44725</v>
      </c>
      <c r="E535" t="s">
        <v>85</v>
      </c>
      <c r="F535">
        <v>42</v>
      </c>
      <c r="G535" t="s">
        <v>169</v>
      </c>
    </row>
    <row r="536" spans="1:7" x14ac:dyDescent="0.25">
      <c r="A536" s="1">
        <v>44731</v>
      </c>
      <c r="B536">
        <v>2022</v>
      </c>
      <c r="C536" s="1">
        <v>44731</v>
      </c>
      <c r="D536" s="1">
        <v>44725</v>
      </c>
      <c r="E536" t="s">
        <v>85</v>
      </c>
      <c r="F536">
        <v>42</v>
      </c>
      <c r="G536" t="s">
        <v>170</v>
      </c>
    </row>
    <row r="537" spans="1:7" x14ac:dyDescent="0.25">
      <c r="A537" s="1">
        <v>44732</v>
      </c>
      <c r="B537">
        <v>2022</v>
      </c>
      <c r="C537" s="1">
        <v>44731</v>
      </c>
      <c r="D537" s="1">
        <v>44732</v>
      </c>
      <c r="E537" t="s">
        <v>86</v>
      </c>
      <c r="F537">
        <v>43</v>
      </c>
      <c r="G537" t="s">
        <v>171</v>
      </c>
    </row>
    <row r="538" spans="1:7" x14ac:dyDescent="0.25">
      <c r="A538" s="1">
        <v>44733</v>
      </c>
      <c r="B538">
        <v>2022</v>
      </c>
      <c r="C538" s="1">
        <v>44731</v>
      </c>
      <c r="D538" s="1">
        <v>44732</v>
      </c>
      <c r="E538" t="s">
        <v>86</v>
      </c>
      <c r="F538">
        <v>43</v>
      </c>
      <c r="G538" t="s">
        <v>172</v>
      </c>
    </row>
    <row r="539" spans="1:7" x14ac:dyDescent="0.25">
      <c r="A539" s="1">
        <v>44734</v>
      </c>
      <c r="B539">
        <v>2022</v>
      </c>
      <c r="C539" s="1">
        <v>44731</v>
      </c>
      <c r="D539" s="1">
        <v>44732</v>
      </c>
      <c r="E539" t="s">
        <v>86</v>
      </c>
      <c r="F539">
        <v>43</v>
      </c>
      <c r="G539" t="s">
        <v>173</v>
      </c>
    </row>
    <row r="540" spans="1:7" x14ac:dyDescent="0.25">
      <c r="A540" s="1">
        <v>44735</v>
      </c>
      <c r="B540">
        <v>2022</v>
      </c>
      <c r="C540" s="1">
        <v>44731</v>
      </c>
      <c r="D540" s="1">
        <v>44732</v>
      </c>
      <c r="E540" t="s">
        <v>86</v>
      </c>
      <c r="F540">
        <v>43</v>
      </c>
      <c r="G540" t="s">
        <v>174</v>
      </c>
    </row>
    <row r="541" spans="1:7" x14ac:dyDescent="0.25">
      <c r="A541" s="1">
        <v>44736</v>
      </c>
      <c r="B541">
        <v>2022</v>
      </c>
      <c r="C541" s="1">
        <v>44731</v>
      </c>
      <c r="D541" s="1">
        <v>44732</v>
      </c>
      <c r="E541" t="s">
        <v>86</v>
      </c>
      <c r="F541">
        <v>43</v>
      </c>
      <c r="G541" t="s">
        <v>168</v>
      </c>
    </row>
    <row r="542" spans="1:7" x14ac:dyDescent="0.25">
      <c r="A542" s="1">
        <v>44737</v>
      </c>
      <c r="B542">
        <v>2022</v>
      </c>
      <c r="C542" s="1">
        <v>44731</v>
      </c>
      <c r="D542" s="1">
        <v>44732</v>
      </c>
      <c r="E542" t="s">
        <v>86</v>
      </c>
      <c r="F542">
        <v>43</v>
      </c>
      <c r="G542" t="s">
        <v>169</v>
      </c>
    </row>
    <row r="543" spans="1:7" x14ac:dyDescent="0.25">
      <c r="A543" s="1">
        <v>44738</v>
      </c>
      <c r="B543">
        <v>2022</v>
      </c>
      <c r="C543" s="1">
        <v>44738</v>
      </c>
      <c r="D543" s="1">
        <v>44732</v>
      </c>
      <c r="E543" t="s">
        <v>86</v>
      </c>
      <c r="F543">
        <v>43</v>
      </c>
      <c r="G543" t="s">
        <v>170</v>
      </c>
    </row>
    <row r="544" spans="1:7" x14ac:dyDescent="0.25">
      <c r="A544" s="1">
        <v>44739</v>
      </c>
      <c r="B544">
        <v>2022</v>
      </c>
      <c r="C544" s="1">
        <v>44738</v>
      </c>
      <c r="D544" s="1">
        <v>44739</v>
      </c>
      <c r="E544" t="s">
        <v>87</v>
      </c>
      <c r="F544">
        <v>44</v>
      </c>
      <c r="G544" t="s">
        <v>171</v>
      </c>
    </row>
    <row r="545" spans="1:7" x14ac:dyDescent="0.25">
      <c r="A545" s="1">
        <v>44740</v>
      </c>
      <c r="B545">
        <v>2022</v>
      </c>
      <c r="C545" s="1">
        <v>44738</v>
      </c>
      <c r="D545" s="1">
        <v>44739</v>
      </c>
      <c r="E545" t="s">
        <v>87</v>
      </c>
      <c r="F545">
        <v>44</v>
      </c>
      <c r="G545" t="s">
        <v>172</v>
      </c>
    </row>
    <row r="546" spans="1:7" x14ac:dyDescent="0.25">
      <c r="A546" s="1">
        <v>44741</v>
      </c>
      <c r="B546">
        <v>2022</v>
      </c>
      <c r="C546" s="1">
        <v>44738</v>
      </c>
      <c r="D546" s="1">
        <v>44739</v>
      </c>
      <c r="E546" t="s">
        <v>87</v>
      </c>
      <c r="F546">
        <v>44</v>
      </c>
      <c r="G546" t="s">
        <v>173</v>
      </c>
    </row>
    <row r="547" spans="1:7" x14ac:dyDescent="0.25">
      <c r="A547" s="1">
        <v>44742</v>
      </c>
      <c r="B547">
        <v>2022</v>
      </c>
      <c r="C547" s="1">
        <v>44738</v>
      </c>
      <c r="D547" s="1">
        <v>44739</v>
      </c>
      <c r="E547" t="s">
        <v>87</v>
      </c>
      <c r="F547">
        <v>44</v>
      </c>
      <c r="G547" t="s">
        <v>174</v>
      </c>
    </row>
    <row r="548" spans="1:7" x14ac:dyDescent="0.25">
      <c r="A548" s="1">
        <v>44743</v>
      </c>
      <c r="B548">
        <v>2022</v>
      </c>
      <c r="C548" s="1">
        <v>44738</v>
      </c>
      <c r="D548" s="1">
        <v>44739</v>
      </c>
      <c r="E548" t="s">
        <v>87</v>
      </c>
      <c r="F548">
        <v>44</v>
      </c>
      <c r="G548" t="s">
        <v>168</v>
      </c>
    </row>
    <row r="549" spans="1:7" x14ac:dyDescent="0.25">
      <c r="A549" s="1">
        <v>44744</v>
      </c>
      <c r="B549">
        <v>2022</v>
      </c>
      <c r="C549" s="1">
        <v>44738</v>
      </c>
      <c r="D549" s="1">
        <v>44739</v>
      </c>
      <c r="E549" t="s">
        <v>87</v>
      </c>
      <c r="F549">
        <v>44</v>
      </c>
      <c r="G549" t="s">
        <v>169</v>
      </c>
    </row>
    <row r="550" spans="1:7" x14ac:dyDescent="0.25">
      <c r="A550" s="1">
        <v>44745</v>
      </c>
      <c r="B550">
        <v>2022</v>
      </c>
      <c r="C550" s="1">
        <v>44745</v>
      </c>
      <c r="D550" s="1">
        <v>44739</v>
      </c>
      <c r="E550" t="s">
        <v>87</v>
      </c>
      <c r="F550">
        <v>44</v>
      </c>
      <c r="G550" t="s">
        <v>170</v>
      </c>
    </row>
    <row r="551" spans="1:7" x14ac:dyDescent="0.25">
      <c r="A551" s="1">
        <v>44746</v>
      </c>
      <c r="B551">
        <v>2022</v>
      </c>
      <c r="C551" s="1">
        <v>44745</v>
      </c>
      <c r="D551" s="1">
        <v>44746</v>
      </c>
      <c r="E551" t="s">
        <v>88</v>
      </c>
      <c r="F551">
        <v>45</v>
      </c>
      <c r="G551" t="s">
        <v>171</v>
      </c>
    </row>
    <row r="552" spans="1:7" x14ac:dyDescent="0.25">
      <c r="A552" s="1">
        <v>44747</v>
      </c>
      <c r="B552">
        <v>2022</v>
      </c>
      <c r="C552" s="1">
        <v>44745</v>
      </c>
      <c r="D552" s="1">
        <v>44746</v>
      </c>
      <c r="E552" t="s">
        <v>88</v>
      </c>
      <c r="F552">
        <v>45</v>
      </c>
      <c r="G552" t="s">
        <v>172</v>
      </c>
    </row>
    <row r="553" spans="1:7" x14ac:dyDescent="0.25">
      <c r="A553" s="1">
        <v>44748</v>
      </c>
      <c r="B553">
        <v>2022</v>
      </c>
      <c r="C553" s="1">
        <v>44745</v>
      </c>
      <c r="D553" s="1">
        <v>44746</v>
      </c>
      <c r="E553" t="s">
        <v>88</v>
      </c>
      <c r="F553">
        <v>45</v>
      </c>
      <c r="G553" t="s">
        <v>173</v>
      </c>
    </row>
    <row r="554" spans="1:7" x14ac:dyDescent="0.25">
      <c r="A554" s="1">
        <v>44749</v>
      </c>
      <c r="B554">
        <v>2022</v>
      </c>
      <c r="C554" s="1">
        <v>44745</v>
      </c>
      <c r="D554" s="1">
        <v>44746</v>
      </c>
      <c r="E554" t="s">
        <v>88</v>
      </c>
      <c r="F554">
        <v>45</v>
      </c>
      <c r="G554" t="s">
        <v>174</v>
      </c>
    </row>
    <row r="555" spans="1:7" x14ac:dyDescent="0.25">
      <c r="A555" s="1">
        <v>44750</v>
      </c>
      <c r="B555">
        <v>2022</v>
      </c>
      <c r="C555" s="1">
        <v>44745</v>
      </c>
      <c r="D555" s="1">
        <v>44746</v>
      </c>
      <c r="E555" t="s">
        <v>88</v>
      </c>
      <c r="F555">
        <v>45</v>
      </c>
      <c r="G555" t="s">
        <v>168</v>
      </c>
    </row>
    <row r="556" spans="1:7" x14ac:dyDescent="0.25">
      <c r="A556" s="1">
        <v>44751</v>
      </c>
      <c r="B556">
        <v>2022</v>
      </c>
      <c r="C556" s="1">
        <v>44745</v>
      </c>
      <c r="D556" s="1">
        <v>44746</v>
      </c>
      <c r="E556" t="s">
        <v>88</v>
      </c>
      <c r="F556">
        <v>45</v>
      </c>
      <c r="G556" t="s">
        <v>169</v>
      </c>
    </row>
    <row r="557" spans="1:7" x14ac:dyDescent="0.25">
      <c r="A557" s="1">
        <v>44752</v>
      </c>
      <c r="B557">
        <v>2022</v>
      </c>
      <c r="C557" s="1">
        <v>44752</v>
      </c>
      <c r="D557" s="1">
        <v>44746</v>
      </c>
      <c r="E557" t="s">
        <v>88</v>
      </c>
      <c r="F557">
        <v>45</v>
      </c>
      <c r="G557" t="s">
        <v>170</v>
      </c>
    </row>
    <row r="558" spans="1:7" x14ac:dyDescent="0.25">
      <c r="A558" s="1">
        <v>44753</v>
      </c>
      <c r="B558">
        <v>2022</v>
      </c>
      <c r="C558" s="1">
        <v>44752</v>
      </c>
      <c r="D558" s="1">
        <v>44753</v>
      </c>
      <c r="E558" t="s">
        <v>89</v>
      </c>
      <c r="F558">
        <v>46</v>
      </c>
      <c r="G558" t="s">
        <v>171</v>
      </c>
    </row>
    <row r="559" spans="1:7" x14ac:dyDescent="0.25">
      <c r="A559" s="1">
        <v>44754</v>
      </c>
      <c r="B559">
        <v>2022</v>
      </c>
      <c r="C559" s="1">
        <v>44752</v>
      </c>
      <c r="D559" s="1">
        <v>44753</v>
      </c>
      <c r="E559" t="s">
        <v>89</v>
      </c>
      <c r="F559">
        <v>46</v>
      </c>
      <c r="G559" t="s">
        <v>172</v>
      </c>
    </row>
    <row r="560" spans="1:7" x14ac:dyDescent="0.25">
      <c r="A560" s="1">
        <v>44755</v>
      </c>
      <c r="B560">
        <v>2022</v>
      </c>
      <c r="C560" s="1">
        <v>44752</v>
      </c>
      <c r="D560" s="1">
        <v>44753</v>
      </c>
      <c r="E560" t="s">
        <v>89</v>
      </c>
      <c r="F560">
        <v>46</v>
      </c>
      <c r="G560" t="s">
        <v>173</v>
      </c>
    </row>
    <row r="561" spans="1:7" x14ac:dyDescent="0.25">
      <c r="A561" s="1">
        <v>44756</v>
      </c>
      <c r="B561">
        <v>2022</v>
      </c>
      <c r="C561" s="1">
        <v>44752</v>
      </c>
      <c r="D561" s="1">
        <v>44753</v>
      </c>
      <c r="E561" t="s">
        <v>89</v>
      </c>
      <c r="F561">
        <v>46</v>
      </c>
      <c r="G561" t="s">
        <v>174</v>
      </c>
    </row>
    <row r="562" spans="1:7" x14ac:dyDescent="0.25">
      <c r="A562" s="1">
        <v>44757</v>
      </c>
      <c r="B562">
        <v>2022</v>
      </c>
      <c r="C562" s="1">
        <v>44752</v>
      </c>
      <c r="D562" s="1">
        <v>44753</v>
      </c>
      <c r="E562" t="s">
        <v>89</v>
      </c>
      <c r="F562">
        <v>46</v>
      </c>
      <c r="G562" t="s">
        <v>168</v>
      </c>
    </row>
    <row r="563" spans="1:7" x14ac:dyDescent="0.25">
      <c r="A563" s="1">
        <v>44758</v>
      </c>
      <c r="B563">
        <v>2022</v>
      </c>
      <c r="C563" s="1">
        <v>44752</v>
      </c>
      <c r="D563" s="1">
        <v>44753</v>
      </c>
      <c r="E563" t="s">
        <v>89</v>
      </c>
      <c r="F563">
        <v>46</v>
      </c>
      <c r="G563" t="s">
        <v>169</v>
      </c>
    </row>
    <row r="564" spans="1:7" x14ac:dyDescent="0.25">
      <c r="A564" s="1">
        <v>44759</v>
      </c>
      <c r="B564">
        <v>2022</v>
      </c>
      <c r="C564" s="1">
        <v>44759</v>
      </c>
      <c r="D564" s="1">
        <v>44753</v>
      </c>
      <c r="E564" t="s">
        <v>89</v>
      </c>
      <c r="F564">
        <v>46</v>
      </c>
      <c r="G564" t="s">
        <v>170</v>
      </c>
    </row>
    <row r="565" spans="1:7" x14ac:dyDescent="0.25">
      <c r="A565" s="1">
        <v>44760</v>
      </c>
      <c r="B565">
        <v>2022</v>
      </c>
      <c r="C565" s="1">
        <v>44759</v>
      </c>
      <c r="D565" s="1">
        <v>44760</v>
      </c>
      <c r="E565" t="s">
        <v>90</v>
      </c>
      <c r="F565">
        <v>47</v>
      </c>
      <c r="G565" t="s">
        <v>171</v>
      </c>
    </row>
    <row r="566" spans="1:7" x14ac:dyDescent="0.25">
      <c r="A566" s="1">
        <v>44761</v>
      </c>
      <c r="B566">
        <v>2022</v>
      </c>
      <c r="C566" s="1">
        <v>44759</v>
      </c>
      <c r="D566" s="1">
        <v>44760</v>
      </c>
      <c r="E566" t="s">
        <v>90</v>
      </c>
      <c r="F566">
        <v>47</v>
      </c>
      <c r="G566" t="s">
        <v>172</v>
      </c>
    </row>
    <row r="567" spans="1:7" x14ac:dyDescent="0.25">
      <c r="A567" s="1">
        <v>44762</v>
      </c>
      <c r="B567">
        <v>2022</v>
      </c>
      <c r="C567" s="1">
        <v>44759</v>
      </c>
      <c r="D567" s="1">
        <v>44760</v>
      </c>
      <c r="E567" t="s">
        <v>90</v>
      </c>
      <c r="F567">
        <v>47</v>
      </c>
      <c r="G567" t="s">
        <v>173</v>
      </c>
    </row>
    <row r="568" spans="1:7" x14ac:dyDescent="0.25">
      <c r="A568" s="1">
        <v>44763</v>
      </c>
      <c r="B568">
        <v>2022</v>
      </c>
      <c r="C568" s="1">
        <v>44759</v>
      </c>
      <c r="D568" s="1">
        <v>44760</v>
      </c>
      <c r="E568" t="s">
        <v>90</v>
      </c>
      <c r="F568">
        <v>47</v>
      </c>
      <c r="G568" t="s">
        <v>174</v>
      </c>
    </row>
    <row r="569" spans="1:7" x14ac:dyDescent="0.25">
      <c r="A569" s="1">
        <v>44764</v>
      </c>
      <c r="B569">
        <v>2022</v>
      </c>
      <c r="C569" s="1">
        <v>44759</v>
      </c>
      <c r="D569" s="1">
        <v>44760</v>
      </c>
      <c r="E569" t="s">
        <v>90</v>
      </c>
      <c r="F569">
        <v>47</v>
      </c>
      <c r="G569" t="s">
        <v>168</v>
      </c>
    </row>
    <row r="570" spans="1:7" x14ac:dyDescent="0.25">
      <c r="A570" s="1">
        <v>44765</v>
      </c>
      <c r="B570">
        <v>2022</v>
      </c>
      <c r="C570" s="1">
        <v>44759</v>
      </c>
      <c r="D570" s="1">
        <v>44760</v>
      </c>
      <c r="E570" t="s">
        <v>90</v>
      </c>
      <c r="F570">
        <v>47</v>
      </c>
      <c r="G570" t="s">
        <v>169</v>
      </c>
    </row>
    <row r="571" spans="1:7" x14ac:dyDescent="0.25">
      <c r="A571" s="1">
        <v>44766</v>
      </c>
      <c r="B571">
        <v>2022</v>
      </c>
      <c r="C571" s="1">
        <v>44766</v>
      </c>
      <c r="D571" s="1">
        <v>44760</v>
      </c>
      <c r="E571" t="s">
        <v>90</v>
      </c>
      <c r="F571">
        <v>47</v>
      </c>
      <c r="G571" t="s">
        <v>170</v>
      </c>
    </row>
    <row r="572" spans="1:7" x14ac:dyDescent="0.25">
      <c r="A572" s="1">
        <v>44767</v>
      </c>
      <c r="B572">
        <v>2022</v>
      </c>
      <c r="C572" s="1">
        <v>44766</v>
      </c>
      <c r="D572" s="1">
        <v>44767</v>
      </c>
      <c r="E572" t="s">
        <v>91</v>
      </c>
      <c r="F572">
        <v>48</v>
      </c>
      <c r="G572" t="s">
        <v>171</v>
      </c>
    </row>
    <row r="573" spans="1:7" x14ac:dyDescent="0.25">
      <c r="A573" s="1">
        <v>44768</v>
      </c>
      <c r="B573">
        <v>2022</v>
      </c>
      <c r="C573" s="1">
        <v>44766</v>
      </c>
      <c r="D573" s="1">
        <v>44767</v>
      </c>
      <c r="E573" t="s">
        <v>91</v>
      </c>
      <c r="F573">
        <v>48</v>
      </c>
      <c r="G573" t="s">
        <v>172</v>
      </c>
    </row>
    <row r="574" spans="1:7" x14ac:dyDescent="0.25">
      <c r="A574" s="1">
        <v>44769</v>
      </c>
      <c r="B574">
        <v>2022</v>
      </c>
      <c r="C574" s="1">
        <v>44766</v>
      </c>
      <c r="D574" s="1">
        <v>44767</v>
      </c>
      <c r="E574" t="s">
        <v>91</v>
      </c>
      <c r="F574">
        <v>48</v>
      </c>
      <c r="G574" t="s">
        <v>173</v>
      </c>
    </row>
    <row r="575" spans="1:7" x14ac:dyDescent="0.25">
      <c r="A575" s="1">
        <v>44770</v>
      </c>
      <c r="B575">
        <v>2022</v>
      </c>
      <c r="C575" s="1">
        <v>44766</v>
      </c>
      <c r="D575" s="1">
        <v>44767</v>
      </c>
      <c r="E575" t="s">
        <v>91</v>
      </c>
      <c r="F575">
        <v>48</v>
      </c>
      <c r="G575" t="s">
        <v>174</v>
      </c>
    </row>
    <row r="576" spans="1:7" x14ac:dyDescent="0.25">
      <c r="A576" s="1">
        <v>44771</v>
      </c>
      <c r="B576">
        <v>2022</v>
      </c>
      <c r="C576" s="1">
        <v>44766</v>
      </c>
      <c r="D576" s="1">
        <v>44767</v>
      </c>
      <c r="E576" t="s">
        <v>91</v>
      </c>
      <c r="F576">
        <v>48</v>
      </c>
      <c r="G576" t="s">
        <v>168</v>
      </c>
    </row>
    <row r="577" spans="1:7" x14ac:dyDescent="0.25">
      <c r="A577" s="1">
        <v>44772</v>
      </c>
      <c r="B577">
        <v>2022</v>
      </c>
      <c r="C577" s="1">
        <v>44766</v>
      </c>
      <c r="D577" s="1">
        <v>44767</v>
      </c>
      <c r="E577" t="s">
        <v>91</v>
      </c>
      <c r="F577">
        <v>48</v>
      </c>
      <c r="G577" t="s">
        <v>169</v>
      </c>
    </row>
    <row r="578" spans="1:7" x14ac:dyDescent="0.25">
      <c r="A578" s="1">
        <v>44773</v>
      </c>
      <c r="B578">
        <v>2022</v>
      </c>
      <c r="C578" s="1">
        <v>44773</v>
      </c>
      <c r="D578" s="1">
        <v>44767</v>
      </c>
      <c r="E578" t="s">
        <v>91</v>
      </c>
      <c r="F578">
        <v>48</v>
      </c>
      <c r="G578" t="s">
        <v>170</v>
      </c>
    </row>
    <row r="579" spans="1:7" x14ac:dyDescent="0.25">
      <c r="A579" s="1">
        <v>44774</v>
      </c>
      <c r="B579">
        <v>2022</v>
      </c>
      <c r="C579" s="1">
        <v>44773</v>
      </c>
      <c r="D579" s="1">
        <v>44774</v>
      </c>
      <c r="E579" t="s">
        <v>92</v>
      </c>
      <c r="F579">
        <v>49</v>
      </c>
      <c r="G579" t="s">
        <v>171</v>
      </c>
    </row>
    <row r="580" spans="1:7" x14ac:dyDescent="0.25">
      <c r="A580" s="1">
        <v>44775</v>
      </c>
      <c r="B580">
        <v>2022</v>
      </c>
      <c r="C580" s="1">
        <v>44773</v>
      </c>
      <c r="D580" s="1">
        <v>44774</v>
      </c>
      <c r="E580" t="s">
        <v>92</v>
      </c>
      <c r="F580">
        <v>49</v>
      </c>
      <c r="G580" t="s">
        <v>172</v>
      </c>
    </row>
    <row r="581" spans="1:7" x14ac:dyDescent="0.25">
      <c r="A581" s="1">
        <v>44776</v>
      </c>
      <c r="B581">
        <v>2022</v>
      </c>
      <c r="C581" s="1">
        <v>44773</v>
      </c>
      <c r="D581" s="1">
        <v>44774</v>
      </c>
      <c r="E581" t="s">
        <v>92</v>
      </c>
      <c r="F581">
        <v>49</v>
      </c>
      <c r="G581" t="s">
        <v>173</v>
      </c>
    </row>
    <row r="582" spans="1:7" x14ac:dyDescent="0.25">
      <c r="A582" s="1">
        <v>44777</v>
      </c>
      <c r="B582">
        <v>2022</v>
      </c>
      <c r="C582" s="1">
        <v>44773</v>
      </c>
      <c r="D582" s="1">
        <v>44774</v>
      </c>
      <c r="E582" t="s">
        <v>92</v>
      </c>
      <c r="F582">
        <v>49</v>
      </c>
      <c r="G582" t="s">
        <v>174</v>
      </c>
    </row>
    <row r="583" spans="1:7" x14ac:dyDescent="0.25">
      <c r="A583" s="1">
        <v>44778</v>
      </c>
      <c r="B583">
        <v>2022</v>
      </c>
      <c r="C583" s="1">
        <v>44773</v>
      </c>
      <c r="D583" s="1">
        <v>44774</v>
      </c>
      <c r="E583" t="s">
        <v>92</v>
      </c>
      <c r="F583">
        <v>49</v>
      </c>
      <c r="G583" t="s">
        <v>168</v>
      </c>
    </row>
    <row r="584" spans="1:7" x14ac:dyDescent="0.25">
      <c r="A584" s="1">
        <v>44779</v>
      </c>
      <c r="B584">
        <v>2022</v>
      </c>
      <c r="C584" s="1">
        <v>44773</v>
      </c>
      <c r="D584" s="1">
        <v>44774</v>
      </c>
      <c r="E584" t="s">
        <v>92</v>
      </c>
      <c r="F584">
        <v>49</v>
      </c>
      <c r="G584" t="s">
        <v>169</v>
      </c>
    </row>
    <row r="585" spans="1:7" x14ac:dyDescent="0.25">
      <c r="A585" s="1">
        <v>44780</v>
      </c>
      <c r="B585">
        <v>2022</v>
      </c>
      <c r="C585" s="1">
        <v>44780</v>
      </c>
      <c r="D585" s="1">
        <v>44774</v>
      </c>
      <c r="E585" t="s">
        <v>92</v>
      </c>
      <c r="F585">
        <v>49</v>
      </c>
      <c r="G585" t="s">
        <v>170</v>
      </c>
    </row>
    <row r="586" spans="1:7" x14ac:dyDescent="0.25">
      <c r="A586" s="1">
        <v>44781</v>
      </c>
      <c r="B586">
        <v>2022</v>
      </c>
      <c r="C586" s="1">
        <v>44780</v>
      </c>
      <c r="D586" s="1">
        <v>44781</v>
      </c>
      <c r="E586" t="s">
        <v>93</v>
      </c>
      <c r="F586">
        <v>50</v>
      </c>
      <c r="G586" t="s">
        <v>171</v>
      </c>
    </row>
    <row r="587" spans="1:7" x14ac:dyDescent="0.25">
      <c r="A587" s="1">
        <v>44782</v>
      </c>
      <c r="B587">
        <v>2022</v>
      </c>
      <c r="C587" s="1">
        <v>44780</v>
      </c>
      <c r="D587" s="1">
        <v>44781</v>
      </c>
      <c r="E587" t="s">
        <v>93</v>
      </c>
      <c r="F587">
        <v>50</v>
      </c>
      <c r="G587" t="s">
        <v>172</v>
      </c>
    </row>
    <row r="588" spans="1:7" x14ac:dyDescent="0.25">
      <c r="A588" s="1">
        <v>44783</v>
      </c>
      <c r="B588">
        <v>2022</v>
      </c>
      <c r="C588" s="1">
        <v>44780</v>
      </c>
      <c r="D588" s="1">
        <v>44781</v>
      </c>
      <c r="E588" t="s">
        <v>93</v>
      </c>
      <c r="F588">
        <v>50</v>
      </c>
      <c r="G588" t="s">
        <v>173</v>
      </c>
    </row>
    <row r="589" spans="1:7" x14ac:dyDescent="0.25">
      <c r="A589" s="1">
        <v>44784</v>
      </c>
      <c r="B589">
        <v>2022</v>
      </c>
      <c r="C589" s="1">
        <v>44780</v>
      </c>
      <c r="D589" s="1">
        <v>44781</v>
      </c>
      <c r="E589" t="s">
        <v>93</v>
      </c>
      <c r="F589">
        <v>50</v>
      </c>
      <c r="G589" t="s">
        <v>174</v>
      </c>
    </row>
    <row r="590" spans="1:7" x14ac:dyDescent="0.25">
      <c r="A590" s="1">
        <v>44785</v>
      </c>
      <c r="B590">
        <v>2022</v>
      </c>
      <c r="C590" s="1">
        <v>44780</v>
      </c>
      <c r="D590" s="1">
        <v>44781</v>
      </c>
      <c r="E590" t="s">
        <v>93</v>
      </c>
      <c r="F590">
        <v>50</v>
      </c>
      <c r="G590" t="s">
        <v>168</v>
      </c>
    </row>
    <row r="591" spans="1:7" x14ac:dyDescent="0.25">
      <c r="A591" s="1">
        <v>44786</v>
      </c>
      <c r="B591">
        <v>2022</v>
      </c>
      <c r="C591" s="1">
        <v>44780</v>
      </c>
      <c r="D591" s="1">
        <v>44781</v>
      </c>
      <c r="E591" t="s">
        <v>93</v>
      </c>
      <c r="F591">
        <v>50</v>
      </c>
      <c r="G591" t="s">
        <v>169</v>
      </c>
    </row>
    <row r="592" spans="1:7" x14ac:dyDescent="0.25">
      <c r="A592" s="1">
        <v>44787</v>
      </c>
      <c r="B592">
        <v>2022</v>
      </c>
      <c r="C592" s="1">
        <v>44787</v>
      </c>
      <c r="D592" s="1">
        <v>44781</v>
      </c>
      <c r="E592" t="s">
        <v>93</v>
      </c>
      <c r="F592">
        <v>50</v>
      </c>
      <c r="G592" t="s">
        <v>170</v>
      </c>
    </row>
    <row r="593" spans="1:7" x14ac:dyDescent="0.25">
      <c r="A593" s="1">
        <v>44788</v>
      </c>
      <c r="B593">
        <v>2022</v>
      </c>
      <c r="C593" s="1">
        <v>44787</v>
      </c>
      <c r="D593" s="1">
        <v>44788</v>
      </c>
      <c r="E593" t="s">
        <v>94</v>
      </c>
      <c r="F593">
        <v>51</v>
      </c>
      <c r="G593" t="s">
        <v>171</v>
      </c>
    </row>
    <row r="594" spans="1:7" x14ac:dyDescent="0.25">
      <c r="A594" s="1">
        <v>44789</v>
      </c>
      <c r="B594">
        <v>2022</v>
      </c>
      <c r="C594" s="1">
        <v>44787</v>
      </c>
      <c r="D594" s="1">
        <v>44788</v>
      </c>
      <c r="E594" t="s">
        <v>94</v>
      </c>
      <c r="F594">
        <v>51</v>
      </c>
      <c r="G594" t="s">
        <v>172</v>
      </c>
    </row>
    <row r="595" spans="1:7" x14ac:dyDescent="0.25">
      <c r="A595" s="1">
        <v>44790</v>
      </c>
      <c r="B595">
        <v>2022</v>
      </c>
      <c r="C595" s="1">
        <v>44787</v>
      </c>
      <c r="D595" s="1">
        <v>44788</v>
      </c>
      <c r="E595" t="s">
        <v>94</v>
      </c>
      <c r="F595">
        <v>51</v>
      </c>
      <c r="G595" t="s">
        <v>173</v>
      </c>
    </row>
    <row r="596" spans="1:7" x14ac:dyDescent="0.25">
      <c r="A596" s="1">
        <v>44791</v>
      </c>
      <c r="B596">
        <v>2022</v>
      </c>
      <c r="C596" s="1">
        <v>44787</v>
      </c>
      <c r="D596" s="1">
        <v>44788</v>
      </c>
      <c r="E596" t="s">
        <v>94</v>
      </c>
      <c r="F596">
        <v>51</v>
      </c>
      <c r="G596" t="s">
        <v>174</v>
      </c>
    </row>
    <row r="597" spans="1:7" x14ac:dyDescent="0.25">
      <c r="A597" s="1">
        <v>44792</v>
      </c>
      <c r="B597">
        <v>2022</v>
      </c>
      <c r="C597" s="1">
        <v>44787</v>
      </c>
      <c r="D597" s="1">
        <v>44788</v>
      </c>
      <c r="E597" t="s">
        <v>94</v>
      </c>
      <c r="F597">
        <v>51</v>
      </c>
      <c r="G597" t="s">
        <v>168</v>
      </c>
    </row>
    <row r="598" spans="1:7" x14ac:dyDescent="0.25">
      <c r="A598" s="1">
        <v>44793</v>
      </c>
      <c r="B598">
        <v>2022</v>
      </c>
      <c r="C598" s="1">
        <v>44787</v>
      </c>
      <c r="D598" s="1">
        <v>44788</v>
      </c>
      <c r="E598" t="s">
        <v>94</v>
      </c>
      <c r="F598">
        <v>51</v>
      </c>
      <c r="G598" t="s">
        <v>169</v>
      </c>
    </row>
    <row r="599" spans="1:7" x14ac:dyDescent="0.25">
      <c r="A599" s="1">
        <v>44794</v>
      </c>
      <c r="B599">
        <v>2022</v>
      </c>
      <c r="C599" s="1">
        <v>44794</v>
      </c>
      <c r="D599" s="1">
        <v>44788</v>
      </c>
      <c r="E599" t="s">
        <v>94</v>
      </c>
      <c r="F599">
        <v>51</v>
      </c>
      <c r="G599" t="s">
        <v>170</v>
      </c>
    </row>
    <row r="600" spans="1:7" x14ac:dyDescent="0.25">
      <c r="A600" s="1">
        <v>44795</v>
      </c>
      <c r="B600">
        <v>2022</v>
      </c>
      <c r="C600" s="1">
        <v>44794</v>
      </c>
      <c r="D600" s="1">
        <v>44795</v>
      </c>
      <c r="E600" t="s">
        <v>95</v>
      </c>
      <c r="F600">
        <v>52</v>
      </c>
      <c r="G600" t="s">
        <v>171</v>
      </c>
    </row>
    <row r="601" spans="1:7" x14ac:dyDescent="0.25">
      <c r="A601" s="1">
        <v>44796</v>
      </c>
      <c r="B601">
        <v>2022</v>
      </c>
      <c r="C601" s="1">
        <v>44794</v>
      </c>
      <c r="D601" s="1">
        <v>44795</v>
      </c>
      <c r="E601" t="s">
        <v>95</v>
      </c>
      <c r="F601">
        <v>52</v>
      </c>
      <c r="G601" t="s">
        <v>172</v>
      </c>
    </row>
    <row r="602" spans="1:7" x14ac:dyDescent="0.25">
      <c r="A602" s="1">
        <v>44797</v>
      </c>
      <c r="B602">
        <v>2022</v>
      </c>
      <c r="C602" s="1">
        <v>44794</v>
      </c>
      <c r="D602" s="1">
        <v>44795</v>
      </c>
      <c r="E602" t="s">
        <v>95</v>
      </c>
      <c r="F602">
        <v>52</v>
      </c>
      <c r="G602" t="s">
        <v>173</v>
      </c>
    </row>
    <row r="603" spans="1:7" x14ac:dyDescent="0.25">
      <c r="A603" s="1">
        <v>44798</v>
      </c>
      <c r="B603">
        <v>2022</v>
      </c>
      <c r="C603" s="1">
        <v>44794</v>
      </c>
      <c r="D603" s="1">
        <v>44795</v>
      </c>
      <c r="E603" t="s">
        <v>95</v>
      </c>
      <c r="F603">
        <v>52</v>
      </c>
      <c r="G603" t="s">
        <v>174</v>
      </c>
    </row>
    <row r="604" spans="1:7" x14ac:dyDescent="0.25">
      <c r="A604" s="1">
        <v>44799</v>
      </c>
      <c r="B604">
        <v>2022</v>
      </c>
      <c r="C604" s="1">
        <v>44794</v>
      </c>
      <c r="D604" s="1">
        <v>44795</v>
      </c>
      <c r="E604" t="s">
        <v>95</v>
      </c>
      <c r="F604">
        <v>52</v>
      </c>
      <c r="G604" t="s">
        <v>168</v>
      </c>
    </row>
    <row r="605" spans="1:7" x14ac:dyDescent="0.25">
      <c r="A605" s="1">
        <v>44800</v>
      </c>
      <c r="B605">
        <v>2022</v>
      </c>
      <c r="C605" s="1">
        <v>44794</v>
      </c>
      <c r="D605" s="1">
        <v>44795</v>
      </c>
      <c r="E605" t="s">
        <v>95</v>
      </c>
      <c r="F605">
        <v>52</v>
      </c>
      <c r="G605" t="s">
        <v>169</v>
      </c>
    </row>
    <row r="606" spans="1:7" x14ac:dyDescent="0.25">
      <c r="A606" s="1">
        <v>44801</v>
      </c>
      <c r="B606">
        <v>2022</v>
      </c>
      <c r="C606" s="1">
        <v>44801</v>
      </c>
      <c r="D606" s="1">
        <v>44795</v>
      </c>
      <c r="E606" t="s">
        <v>95</v>
      </c>
      <c r="F606">
        <v>52</v>
      </c>
      <c r="G606" t="s">
        <v>170</v>
      </c>
    </row>
    <row r="607" spans="1:7" x14ac:dyDescent="0.25">
      <c r="A607" s="1">
        <v>44802</v>
      </c>
      <c r="B607">
        <v>2022</v>
      </c>
      <c r="C607" s="1">
        <v>44801</v>
      </c>
      <c r="D607" s="1">
        <v>44802</v>
      </c>
      <c r="E607" t="s">
        <v>96</v>
      </c>
      <c r="F607">
        <v>1</v>
      </c>
      <c r="G607" t="s">
        <v>171</v>
      </c>
    </row>
    <row r="608" spans="1:7" x14ac:dyDescent="0.25">
      <c r="A608" s="1">
        <v>44803</v>
      </c>
      <c r="B608">
        <v>2022</v>
      </c>
      <c r="C608" s="1">
        <v>44801</v>
      </c>
      <c r="D608" s="1">
        <v>44802</v>
      </c>
      <c r="E608" t="s">
        <v>96</v>
      </c>
      <c r="F608">
        <v>1</v>
      </c>
      <c r="G608" t="s">
        <v>172</v>
      </c>
    </row>
    <row r="609" spans="1:7" x14ac:dyDescent="0.25">
      <c r="A609" s="1">
        <v>44804</v>
      </c>
      <c r="B609">
        <v>2022</v>
      </c>
      <c r="C609" s="1">
        <v>44801</v>
      </c>
      <c r="D609" s="1">
        <v>44802</v>
      </c>
      <c r="E609" t="s">
        <v>96</v>
      </c>
      <c r="F609">
        <v>1</v>
      </c>
      <c r="G609" t="s">
        <v>173</v>
      </c>
    </row>
    <row r="610" spans="1:7" x14ac:dyDescent="0.25">
      <c r="A610" s="1">
        <v>44805</v>
      </c>
      <c r="B610">
        <v>2022</v>
      </c>
      <c r="C610" s="1">
        <v>44801</v>
      </c>
      <c r="D610" s="1">
        <v>44802</v>
      </c>
      <c r="E610" t="s">
        <v>96</v>
      </c>
      <c r="F610">
        <v>1</v>
      </c>
      <c r="G610" t="s">
        <v>174</v>
      </c>
    </row>
    <row r="611" spans="1:7" x14ac:dyDescent="0.25">
      <c r="A611" s="1">
        <v>44806</v>
      </c>
      <c r="B611">
        <v>2022</v>
      </c>
      <c r="C611" s="1">
        <v>44801</v>
      </c>
      <c r="D611" s="1">
        <v>44802</v>
      </c>
      <c r="E611" t="s">
        <v>96</v>
      </c>
      <c r="F611">
        <v>1</v>
      </c>
      <c r="G611" t="s">
        <v>168</v>
      </c>
    </row>
    <row r="612" spans="1:7" x14ac:dyDescent="0.25">
      <c r="A612" s="1">
        <v>44807</v>
      </c>
      <c r="B612">
        <v>2022</v>
      </c>
      <c r="C612" s="1">
        <v>44801</v>
      </c>
      <c r="D612" s="1">
        <v>44802</v>
      </c>
      <c r="E612" t="s">
        <v>96</v>
      </c>
      <c r="F612">
        <v>1</v>
      </c>
      <c r="G612" t="s">
        <v>169</v>
      </c>
    </row>
    <row r="613" spans="1:7" x14ac:dyDescent="0.25">
      <c r="A613" s="1">
        <v>44808</v>
      </c>
      <c r="B613">
        <v>2022</v>
      </c>
      <c r="C613" s="1">
        <v>44808</v>
      </c>
      <c r="D613" s="1">
        <v>44802</v>
      </c>
      <c r="E613" t="s">
        <v>96</v>
      </c>
      <c r="F613">
        <v>1</v>
      </c>
      <c r="G613" t="s">
        <v>170</v>
      </c>
    </row>
    <row r="614" spans="1:7" x14ac:dyDescent="0.25">
      <c r="A614" s="1">
        <v>44809</v>
      </c>
      <c r="B614">
        <v>2022</v>
      </c>
      <c r="C614" s="1">
        <v>44808</v>
      </c>
      <c r="D614" s="1">
        <v>44809</v>
      </c>
      <c r="E614" t="s">
        <v>97</v>
      </c>
      <c r="F614">
        <v>2</v>
      </c>
      <c r="G614" t="s">
        <v>171</v>
      </c>
    </row>
    <row r="615" spans="1:7" x14ac:dyDescent="0.25">
      <c r="A615" s="1">
        <v>44810</v>
      </c>
      <c r="B615">
        <v>2022</v>
      </c>
      <c r="C615" s="1">
        <v>44808</v>
      </c>
      <c r="D615" s="1">
        <v>44809</v>
      </c>
      <c r="E615" t="s">
        <v>97</v>
      </c>
      <c r="F615">
        <v>2</v>
      </c>
      <c r="G615" t="s">
        <v>172</v>
      </c>
    </row>
    <row r="616" spans="1:7" x14ac:dyDescent="0.25">
      <c r="A616" s="1">
        <v>44811</v>
      </c>
      <c r="B616">
        <v>2022</v>
      </c>
      <c r="C616" s="1">
        <v>44808</v>
      </c>
      <c r="D616" s="1">
        <v>44809</v>
      </c>
      <c r="E616" t="s">
        <v>97</v>
      </c>
      <c r="F616">
        <v>2</v>
      </c>
      <c r="G616" t="s">
        <v>173</v>
      </c>
    </row>
    <row r="617" spans="1:7" x14ac:dyDescent="0.25">
      <c r="A617" s="1">
        <v>44812</v>
      </c>
      <c r="B617">
        <v>2022</v>
      </c>
      <c r="C617" s="1">
        <v>44808</v>
      </c>
      <c r="D617" s="1">
        <v>44809</v>
      </c>
      <c r="E617" t="s">
        <v>97</v>
      </c>
      <c r="F617">
        <v>2</v>
      </c>
      <c r="G617" t="s">
        <v>174</v>
      </c>
    </row>
    <row r="618" spans="1:7" x14ac:dyDescent="0.25">
      <c r="A618" s="1">
        <v>44813</v>
      </c>
      <c r="B618">
        <v>2022</v>
      </c>
      <c r="C618" s="1">
        <v>44808</v>
      </c>
      <c r="D618" s="1">
        <v>44809</v>
      </c>
      <c r="E618" t="s">
        <v>97</v>
      </c>
      <c r="F618">
        <v>2</v>
      </c>
      <c r="G618" t="s">
        <v>168</v>
      </c>
    </row>
    <row r="619" spans="1:7" x14ac:dyDescent="0.25">
      <c r="A619" s="1">
        <v>44814</v>
      </c>
      <c r="B619">
        <v>2022</v>
      </c>
      <c r="C619" s="1">
        <v>44808</v>
      </c>
      <c r="D619" s="1">
        <v>44809</v>
      </c>
      <c r="E619" t="s">
        <v>97</v>
      </c>
      <c r="F619">
        <v>2</v>
      </c>
      <c r="G619" t="s">
        <v>169</v>
      </c>
    </row>
    <row r="620" spans="1:7" x14ac:dyDescent="0.25">
      <c r="A620" s="1">
        <v>44815</v>
      </c>
      <c r="B620">
        <v>2022</v>
      </c>
      <c r="C620" s="1">
        <v>44815</v>
      </c>
      <c r="D620" s="1">
        <v>44809</v>
      </c>
      <c r="E620" t="s">
        <v>97</v>
      </c>
      <c r="F620">
        <v>2</v>
      </c>
      <c r="G620" t="s">
        <v>170</v>
      </c>
    </row>
    <row r="621" spans="1:7" x14ac:dyDescent="0.25">
      <c r="A621" s="1">
        <v>44816</v>
      </c>
      <c r="B621">
        <v>2022</v>
      </c>
      <c r="C621" s="1">
        <v>44815</v>
      </c>
      <c r="D621" s="1">
        <v>44816</v>
      </c>
      <c r="E621" t="s">
        <v>98</v>
      </c>
      <c r="F621">
        <v>3</v>
      </c>
      <c r="G621" t="s">
        <v>171</v>
      </c>
    </row>
    <row r="622" spans="1:7" x14ac:dyDescent="0.25">
      <c r="A622" s="1">
        <v>44817</v>
      </c>
      <c r="B622">
        <v>2022</v>
      </c>
      <c r="C622" s="1">
        <v>44815</v>
      </c>
      <c r="D622" s="1">
        <v>44816</v>
      </c>
      <c r="E622" t="s">
        <v>98</v>
      </c>
      <c r="F622">
        <v>3</v>
      </c>
      <c r="G622" t="s">
        <v>172</v>
      </c>
    </row>
    <row r="623" spans="1:7" x14ac:dyDescent="0.25">
      <c r="A623" s="1">
        <v>44818</v>
      </c>
      <c r="B623">
        <v>2022</v>
      </c>
      <c r="C623" s="1">
        <v>44815</v>
      </c>
      <c r="D623" s="1">
        <v>44816</v>
      </c>
      <c r="E623" t="s">
        <v>98</v>
      </c>
      <c r="F623">
        <v>3</v>
      </c>
      <c r="G623" t="s">
        <v>173</v>
      </c>
    </row>
    <row r="624" spans="1:7" x14ac:dyDescent="0.25">
      <c r="A624" s="1">
        <v>44819</v>
      </c>
      <c r="B624">
        <v>2022</v>
      </c>
      <c r="C624" s="1">
        <v>44815</v>
      </c>
      <c r="D624" s="1">
        <v>44816</v>
      </c>
      <c r="E624" t="s">
        <v>98</v>
      </c>
      <c r="F624">
        <v>3</v>
      </c>
      <c r="G624" t="s">
        <v>174</v>
      </c>
    </row>
    <row r="625" spans="1:7" x14ac:dyDescent="0.25">
      <c r="A625" s="1">
        <v>44820</v>
      </c>
      <c r="B625">
        <v>2022</v>
      </c>
      <c r="C625" s="1">
        <v>44815</v>
      </c>
      <c r="D625" s="1">
        <v>44816</v>
      </c>
      <c r="E625" t="s">
        <v>98</v>
      </c>
      <c r="F625">
        <v>3</v>
      </c>
      <c r="G625" t="s">
        <v>168</v>
      </c>
    </row>
    <row r="626" spans="1:7" x14ac:dyDescent="0.25">
      <c r="A626" s="1">
        <v>44821</v>
      </c>
      <c r="B626">
        <v>2022</v>
      </c>
      <c r="C626" s="1">
        <v>44815</v>
      </c>
      <c r="D626" s="1">
        <v>44816</v>
      </c>
      <c r="E626" t="s">
        <v>98</v>
      </c>
      <c r="F626">
        <v>3</v>
      </c>
      <c r="G626" t="s">
        <v>169</v>
      </c>
    </row>
    <row r="627" spans="1:7" x14ac:dyDescent="0.25">
      <c r="A627" s="1">
        <v>44822</v>
      </c>
      <c r="B627">
        <v>2022</v>
      </c>
      <c r="C627" s="1">
        <v>44822</v>
      </c>
      <c r="D627" s="1">
        <v>44816</v>
      </c>
      <c r="E627" t="s">
        <v>98</v>
      </c>
      <c r="F627">
        <v>3</v>
      </c>
      <c r="G627" t="s">
        <v>170</v>
      </c>
    </row>
    <row r="628" spans="1:7" x14ac:dyDescent="0.25">
      <c r="A628" s="1">
        <v>44823</v>
      </c>
      <c r="B628">
        <v>2022</v>
      </c>
      <c r="C628" s="1">
        <v>44822</v>
      </c>
      <c r="D628" s="1">
        <v>44823</v>
      </c>
      <c r="E628" t="s">
        <v>99</v>
      </c>
      <c r="F628">
        <v>4</v>
      </c>
      <c r="G628" t="s">
        <v>171</v>
      </c>
    </row>
    <row r="629" spans="1:7" x14ac:dyDescent="0.25">
      <c r="A629" s="1">
        <v>44824</v>
      </c>
      <c r="B629">
        <v>2022</v>
      </c>
      <c r="C629" s="1">
        <v>44822</v>
      </c>
      <c r="D629" s="1">
        <v>44823</v>
      </c>
      <c r="E629" t="s">
        <v>99</v>
      </c>
      <c r="F629">
        <v>4</v>
      </c>
      <c r="G629" t="s">
        <v>172</v>
      </c>
    </row>
    <row r="630" spans="1:7" x14ac:dyDescent="0.25">
      <c r="A630" s="1">
        <v>44825</v>
      </c>
      <c r="B630">
        <v>2022</v>
      </c>
      <c r="C630" s="1">
        <v>44822</v>
      </c>
      <c r="D630" s="1">
        <v>44823</v>
      </c>
      <c r="E630" t="s">
        <v>99</v>
      </c>
      <c r="F630">
        <v>4</v>
      </c>
      <c r="G630" t="s">
        <v>173</v>
      </c>
    </row>
    <row r="631" spans="1:7" x14ac:dyDescent="0.25">
      <c r="A631" s="1">
        <v>44826</v>
      </c>
      <c r="B631">
        <v>2022</v>
      </c>
      <c r="C631" s="1">
        <v>44822</v>
      </c>
      <c r="D631" s="1">
        <v>44823</v>
      </c>
      <c r="E631" t="s">
        <v>99</v>
      </c>
      <c r="F631">
        <v>4</v>
      </c>
      <c r="G631" t="s">
        <v>174</v>
      </c>
    </row>
    <row r="632" spans="1:7" x14ac:dyDescent="0.25">
      <c r="A632" s="1">
        <v>44827</v>
      </c>
      <c r="B632">
        <v>2022</v>
      </c>
      <c r="C632" s="1">
        <v>44822</v>
      </c>
      <c r="D632" s="1">
        <v>44823</v>
      </c>
      <c r="E632" t="s">
        <v>99</v>
      </c>
      <c r="F632">
        <v>4</v>
      </c>
      <c r="G632" t="s">
        <v>168</v>
      </c>
    </row>
    <row r="633" spans="1:7" x14ac:dyDescent="0.25">
      <c r="A633" s="1">
        <v>44828</v>
      </c>
      <c r="B633">
        <v>2022</v>
      </c>
      <c r="C633" s="1">
        <v>44822</v>
      </c>
      <c r="D633" s="1">
        <v>44823</v>
      </c>
      <c r="E633" t="s">
        <v>99</v>
      </c>
      <c r="F633">
        <v>4</v>
      </c>
      <c r="G633" t="s">
        <v>169</v>
      </c>
    </row>
    <row r="634" spans="1:7" x14ac:dyDescent="0.25">
      <c r="A634" s="1">
        <v>44829</v>
      </c>
      <c r="B634">
        <v>2022</v>
      </c>
      <c r="C634" s="1">
        <v>44829</v>
      </c>
      <c r="D634" s="1">
        <v>44823</v>
      </c>
      <c r="E634" t="s">
        <v>99</v>
      </c>
      <c r="F634">
        <v>4</v>
      </c>
      <c r="G634" t="s">
        <v>170</v>
      </c>
    </row>
    <row r="635" spans="1:7" x14ac:dyDescent="0.25">
      <c r="A635" s="1">
        <v>44830</v>
      </c>
      <c r="B635">
        <v>2022</v>
      </c>
      <c r="C635" s="1">
        <v>44829</v>
      </c>
      <c r="D635" s="1">
        <v>44830</v>
      </c>
      <c r="E635" t="s">
        <v>100</v>
      </c>
      <c r="F635">
        <v>5</v>
      </c>
      <c r="G635" t="s">
        <v>171</v>
      </c>
    </row>
    <row r="636" spans="1:7" x14ac:dyDescent="0.25">
      <c r="A636" s="1">
        <v>44831</v>
      </c>
      <c r="B636">
        <v>2022</v>
      </c>
      <c r="C636" s="1">
        <v>44829</v>
      </c>
      <c r="D636" s="1">
        <v>44830</v>
      </c>
      <c r="E636" t="s">
        <v>100</v>
      </c>
      <c r="F636">
        <v>5</v>
      </c>
      <c r="G636" t="s">
        <v>172</v>
      </c>
    </row>
    <row r="637" spans="1:7" x14ac:dyDescent="0.25">
      <c r="A637" s="1">
        <v>44832</v>
      </c>
      <c r="B637">
        <v>2022</v>
      </c>
      <c r="C637" s="1">
        <v>44829</v>
      </c>
      <c r="D637" s="1">
        <v>44830</v>
      </c>
      <c r="E637" t="s">
        <v>100</v>
      </c>
      <c r="F637">
        <v>5</v>
      </c>
      <c r="G637" t="s">
        <v>173</v>
      </c>
    </row>
    <row r="638" spans="1:7" x14ac:dyDescent="0.25">
      <c r="A638" s="1">
        <v>44833</v>
      </c>
      <c r="B638">
        <v>2022</v>
      </c>
      <c r="C638" s="1">
        <v>44829</v>
      </c>
      <c r="D638" s="1">
        <v>44830</v>
      </c>
      <c r="E638" t="s">
        <v>100</v>
      </c>
      <c r="F638">
        <v>5</v>
      </c>
      <c r="G638" t="s">
        <v>174</v>
      </c>
    </row>
    <row r="639" spans="1:7" x14ac:dyDescent="0.25">
      <c r="A639" s="1">
        <v>44834</v>
      </c>
      <c r="B639">
        <v>2022</v>
      </c>
      <c r="C639" s="1">
        <v>44829</v>
      </c>
      <c r="D639" s="1">
        <v>44830</v>
      </c>
      <c r="E639" t="s">
        <v>100</v>
      </c>
      <c r="F639">
        <v>5</v>
      </c>
      <c r="G639" t="s">
        <v>168</v>
      </c>
    </row>
    <row r="640" spans="1:7" x14ac:dyDescent="0.25">
      <c r="A640" s="1">
        <v>44835</v>
      </c>
      <c r="B640">
        <v>2022</v>
      </c>
      <c r="C640" s="1">
        <v>44829</v>
      </c>
      <c r="D640" s="1">
        <v>44830</v>
      </c>
      <c r="E640" t="s">
        <v>100</v>
      </c>
      <c r="F640">
        <v>5</v>
      </c>
      <c r="G640" t="s">
        <v>169</v>
      </c>
    </row>
    <row r="641" spans="1:7" x14ac:dyDescent="0.25">
      <c r="A641" s="1">
        <v>44836</v>
      </c>
      <c r="B641">
        <v>2022</v>
      </c>
      <c r="C641" s="1">
        <v>44836</v>
      </c>
      <c r="D641" s="1">
        <v>44830</v>
      </c>
      <c r="E641" t="s">
        <v>100</v>
      </c>
      <c r="F641">
        <v>5</v>
      </c>
      <c r="G641" t="s">
        <v>170</v>
      </c>
    </row>
    <row r="642" spans="1:7" x14ac:dyDescent="0.25">
      <c r="A642" s="1">
        <v>44837</v>
      </c>
      <c r="B642">
        <v>2022</v>
      </c>
      <c r="C642" s="1">
        <v>44836</v>
      </c>
      <c r="D642" s="1">
        <v>44837</v>
      </c>
      <c r="E642" t="s">
        <v>101</v>
      </c>
      <c r="F642">
        <v>6</v>
      </c>
      <c r="G642" t="s">
        <v>171</v>
      </c>
    </row>
    <row r="643" spans="1:7" x14ac:dyDescent="0.25">
      <c r="A643" s="1">
        <v>44838</v>
      </c>
      <c r="B643">
        <v>2022</v>
      </c>
      <c r="C643" s="1">
        <v>44836</v>
      </c>
      <c r="D643" s="1">
        <v>44837</v>
      </c>
      <c r="E643" t="s">
        <v>101</v>
      </c>
      <c r="F643">
        <v>6</v>
      </c>
      <c r="G643" t="s">
        <v>172</v>
      </c>
    </row>
    <row r="644" spans="1:7" x14ac:dyDescent="0.25">
      <c r="A644" s="1">
        <v>44839</v>
      </c>
      <c r="B644">
        <v>2022</v>
      </c>
      <c r="C644" s="1">
        <v>44836</v>
      </c>
      <c r="D644" s="1">
        <v>44837</v>
      </c>
      <c r="E644" t="s">
        <v>101</v>
      </c>
      <c r="F644">
        <v>6</v>
      </c>
      <c r="G644" t="s">
        <v>173</v>
      </c>
    </row>
    <row r="645" spans="1:7" x14ac:dyDescent="0.25">
      <c r="A645" s="1">
        <v>44840</v>
      </c>
      <c r="B645">
        <v>2022</v>
      </c>
      <c r="C645" s="1">
        <v>44836</v>
      </c>
      <c r="D645" s="1">
        <v>44837</v>
      </c>
      <c r="E645" t="s">
        <v>101</v>
      </c>
      <c r="F645">
        <v>6</v>
      </c>
      <c r="G645" t="s">
        <v>174</v>
      </c>
    </row>
    <row r="646" spans="1:7" x14ac:dyDescent="0.25">
      <c r="A646" s="1">
        <v>44841</v>
      </c>
      <c r="B646">
        <v>2022</v>
      </c>
      <c r="C646" s="1">
        <v>44836</v>
      </c>
      <c r="D646" s="1">
        <v>44837</v>
      </c>
      <c r="E646" t="s">
        <v>101</v>
      </c>
      <c r="F646">
        <v>6</v>
      </c>
      <c r="G646" t="s">
        <v>168</v>
      </c>
    </row>
    <row r="647" spans="1:7" x14ac:dyDescent="0.25">
      <c r="A647" s="1">
        <v>44842</v>
      </c>
      <c r="B647">
        <v>2022</v>
      </c>
      <c r="C647" s="1">
        <v>44836</v>
      </c>
      <c r="D647" s="1">
        <v>44837</v>
      </c>
      <c r="E647" t="s">
        <v>101</v>
      </c>
      <c r="F647">
        <v>6</v>
      </c>
      <c r="G647" t="s">
        <v>169</v>
      </c>
    </row>
    <row r="648" spans="1:7" x14ac:dyDescent="0.25">
      <c r="A648" s="1">
        <v>44843</v>
      </c>
      <c r="B648">
        <v>2022</v>
      </c>
      <c r="C648" s="1">
        <v>44843</v>
      </c>
      <c r="D648" s="1">
        <v>44837</v>
      </c>
      <c r="E648" t="s">
        <v>101</v>
      </c>
      <c r="F648">
        <v>6</v>
      </c>
      <c r="G648" t="s">
        <v>170</v>
      </c>
    </row>
    <row r="649" spans="1:7" x14ac:dyDescent="0.25">
      <c r="A649" s="1">
        <v>44844</v>
      </c>
      <c r="B649">
        <v>2022</v>
      </c>
      <c r="C649" s="1">
        <v>44843</v>
      </c>
      <c r="D649" s="1">
        <v>44844</v>
      </c>
      <c r="E649" t="s">
        <v>102</v>
      </c>
      <c r="F649">
        <v>7</v>
      </c>
      <c r="G649" t="s">
        <v>171</v>
      </c>
    </row>
    <row r="650" spans="1:7" x14ac:dyDescent="0.25">
      <c r="A650" s="1">
        <v>44845</v>
      </c>
      <c r="B650">
        <v>2022</v>
      </c>
      <c r="C650" s="1">
        <v>44843</v>
      </c>
      <c r="D650" s="1">
        <v>44844</v>
      </c>
      <c r="E650" t="s">
        <v>102</v>
      </c>
      <c r="F650">
        <v>7</v>
      </c>
      <c r="G650" t="s">
        <v>172</v>
      </c>
    </row>
    <row r="651" spans="1:7" x14ac:dyDescent="0.25">
      <c r="A651" s="1">
        <v>44846</v>
      </c>
      <c r="B651">
        <v>2022</v>
      </c>
      <c r="C651" s="1">
        <v>44843</v>
      </c>
      <c r="D651" s="1">
        <v>44844</v>
      </c>
      <c r="E651" t="s">
        <v>102</v>
      </c>
      <c r="F651">
        <v>7</v>
      </c>
      <c r="G651" t="s">
        <v>173</v>
      </c>
    </row>
    <row r="652" spans="1:7" x14ac:dyDescent="0.25">
      <c r="A652" s="1">
        <v>44847</v>
      </c>
      <c r="B652">
        <v>2022</v>
      </c>
      <c r="C652" s="1">
        <v>44843</v>
      </c>
      <c r="D652" s="1">
        <v>44844</v>
      </c>
      <c r="E652" t="s">
        <v>102</v>
      </c>
      <c r="F652">
        <v>7</v>
      </c>
      <c r="G652" t="s">
        <v>174</v>
      </c>
    </row>
    <row r="653" spans="1:7" x14ac:dyDescent="0.25">
      <c r="A653" s="1">
        <v>44848</v>
      </c>
      <c r="B653">
        <v>2022</v>
      </c>
      <c r="C653" s="1">
        <v>44843</v>
      </c>
      <c r="D653" s="1">
        <v>44844</v>
      </c>
      <c r="E653" t="s">
        <v>102</v>
      </c>
      <c r="F653">
        <v>7</v>
      </c>
      <c r="G653" t="s">
        <v>168</v>
      </c>
    </row>
    <row r="654" spans="1:7" x14ac:dyDescent="0.25">
      <c r="A654" s="1">
        <v>44849</v>
      </c>
      <c r="B654">
        <v>2022</v>
      </c>
      <c r="C654" s="1">
        <v>44843</v>
      </c>
      <c r="D654" s="1">
        <v>44844</v>
      </c>
      <c r="E654" t="s">
        <v>102</v>
      </c>
      <c r="F654">
        <v>7</v>
      </c>
      <c r="G654" t="s">
        <v>169</v>
      </c>
    </row>
    <row r="655" spans="1:7" x14ac:dyDescent="0.25">
      <c r="A655" s="1">
        <v>44850</v>
      </c>
      <c r="B655">
        <v>2022</v>
      </c>
      <c r="C655" s="1">
        <v>44850</v>
      </c>
      <c r="D655" s="1">
        <v>44844</v>
      </c>
      <c r="E655" t="s">
        <v>102</v>
      </c>
      <c r="F655">
        <v>7</v>
      </c>
      <c r="G655" t="s">
        <v>170</v>
      </c>
    </row>
    <row r="656" spans="1:7" x14ac:dyDescent="0.25">
      <c r="A656" s="1">
        <v>44851</v>
      </c>
      <c r="B656">
        <v>2022</v>
      </c>
      <c r="C656" s="1">
        <v>44850</v>
      </c>
      <c r="D656" s="1">
        <v>44851</v>
      </c>
      <c r="E656" t="s">
        <v>103</v>
      </c>
      <c r="F656">
        <v>8</v>
      </c>
      <c r="G656" t="s">
        <v>171</v>
      </c>
    </row>
    <row r="657" spans="1:7" x14ac:dyDescent="0.25">
      <c r="A657" s="1">
        <v>44852</v>
      </c>
      <c r="B657">
        <v>2022</v>
      </c>
      <c r="C657" s="1">
        <v>44850</v>
      </c>
      <c r="D657" s="1">
        <v>44851</v>
      </c>
      <c r="E657" t="s">
        <v>103</v>
      </c>
      <c r="F657">
        <v>8</v>
      </c>
      <c r="G657" t="s">
        <v>172</v>
      </c>
    </row>
    <row r="658" spans="1:7" x14ac:dyDescent="0.25">
      <c r="A658" s="1">
        <v>44853</v>
      </c>
      <c r="B658">
        <v>2022</v>
      </c>
      <c r="C658" s="1">
        <v>44850</v>
      </c>
      <c r="D658" s="1">
        <v>44851</v>
      </c>
      <c r="E658" t="s">
        <v>103</v>
      </c>
      <c r="F658">
        <v>8</v>
      </c>
      <c r="G658" t="s">
        <v>173</v>
      </c>
    </row>
    <row r="659" spans="1:7" x14ac:dyDescent="0.25">
      <c r="A659" s="1">
        <v>44854</v>
      </c>
      <c r="B659">
        <v>2022</v>
      </c>
      <c r="C659" s="1">
        <v>44850</v>
      </c>
      <c r="D659" s="1">
        <v>44851</v>
      </c>
      <c r="E659" t="s">
        <v>103</v>
      </c>
      <c r="F659">
        <v>8</v>
      </c>
      <c r="G659" t="s">
        <v>174</v>
      </c>
    </row>
    <row r="660" spans="1:7" x14ac:dyDescent="0.25">
      <c r="A660" s="1">
        <v>44855</v>
      </c>
      <c r="B660">
        <v>2022</v>
      </c>
      <c r="C660" s="1">
        <v>44850</v>
      </c>
      <c r="D660" s="1">
        <v>44851</v>
      </c>
      <c r="E660" t="s">
        <v>103</v>
      </c>
      <c r="F660">
        <v>8</v>
      </c>
      <c r="G660" t="s">
        <v>168</v>
      </c>
    </row>
    <row r="661" spans="1:7" x14ac:dyDescent="0.25">
      <c r="A661" s="1">
        <v>44856</v>
      </c>
      <c r="B661">
        <v>2022</v>
      </c>
      <c r="C661" s="1">
        <v>44850</v>
      </c>
      <c r="D661" s="1">
        <v>44851</v>
      </c>
      <c r="E661" t="s">
        <v>103</v>
      </c>
      <c r="F661">
        <v>8</v>
      </c>
      <c r="G661" t="s">
        <v>169</v>
      </c>
    </row>
    <row r="662" spans="1:7" x14ac:dyDescent="0.25">
      <c r="A662" s="1">
        <v>44857</v>
      </c>
      <c r="B662">
        <v>2022</v>
      </c>
      <c r="C662" s="1">
        <v>44857</v>
      </c>
      <c r="D662" s="1">
        <v>44851</v>
      </c>
      <c r="E662" t="s">
        <v>103</v>
      </c>
      <c r="F662">
        <v>8</v>
      </c>
      <c r="G662" t="s">
        <v>170</v>
      </c>
    </row>
    <row r="663" spans="1:7" x14ac:dyDescent="0.25">
      <c r="A663" s="1">
        <v>44858</v>
      </c>
      <c r="B663">
        <v>2022</v>
      </c>
      <c r="C663" s="1">
        <v>44857</v>
      </c>
      <c r="D663" s="1">
        <v>44858</v>
      </c>
      <c r="E663" t="s">
        <v>104</v>
      </c>
      <c r="F663">
        <v>9</v>
      </c>
      <c r="G663" t="s">
        <v>171</v>
      </c>
    </row>
    <row r="664" spans="1:7" x14ac:dyDescent="0.25">
      <c r="A664" s="1">
        <v>44859</v>
      </c>
      <c r="B664">
        <v>2022</v>
      </c>
      <c r="C664" s="1">
        <v>44857</v>
      </c>
      <c r="D664" s="1">
        <v>44858</v>
      </c>
      <c r="E664" t="s">
        <v>104</v>
      </c>
      <c r="F664">
        <v>9</v>
      </c>
      <c r="G664" t="s">
        <v>172</v>
      </c>
    </row>
    <row r="665" spans="1:7" x14ac:dyDescent="0.25">
      <c r="A665" s="1">
        <v>44860</v>
      </c>
      <c r="B665">
        <v>2022</v>
      </c>
      <c r="C665" s="1">
        <v>44857</v>
      </c>
      <c r="D665" s="1">
        <v>44858</v>
      </c>
      <c r="E665" t="s">
        <v>104</v>
      </c>
      <c r="F665">
        <v>9</v>
      </c>
      <c r="G665" t="s">
        <v>173</v>
      </c>
    </row>
    <row r="666" spans="1:7" x14ac:dyDescent="0.25">
      <c r="A666" s="1">
        <v>44861</v>
      </c>
      <c r="B666">
        <v>2022</v>
      </c>
      <c r="C666" s="1">
        <v>44857</v>
      </c>
      <c r="D666" s="1">
        <v>44858</v>
      </c>
      <c r="E666" t="s">
        <v>104</v>
      </c>
      <c r="F666">
        <v>9</v>
      </c>
      <c r="G666" t="s">
        <v>174</v>
      </c>
    </row>
    <row r="667" spans="1:7" x14ac:dyDescent="0.25">
      <c r="A667" s="1">
        <v>44862</v>
      </c>
      <c r="B667">
        <v>2022</v>
      </c>
      <c r="C667" s="1">
        <v>44857</v>
      </c>
      <c r="D667" s="1">
        <v>44858</v>
      </c>
      <c r="E667" t="s">
        <v>104</v>
      </c>
      <c r="F667">
        <v>9</v>
      </c>
      <c r="G667" t="s">
        <v>168</v>
      </c>
    </row>
    <row r="668" spans="1:7" x14ac:dyDescent="0.25">
      <c r="A668" s="1">
        <v>44863</v>
      </c>
      <c r="B668">
        <v>2022</v>
      </c>
      <c r="C668" s="1">
        <v>44857</v>
      </c>
      <c r="D668" s="1">
        <v>44858</v>
      </c>
      <c r="E668" t="s">
        <v>104</v>
      </c>
      <c r="F668">
        <v>9</v>
      </c>
      <c r="G668" t="s">
        <v>169</v>
      </c>
    </row>
    <row r="669" spans="1:7" x14ac:dyDescent="0.25">
      <c r="A669" s="1">
        <v>44864</v>
      </c>
      <c r="B669">
        <v>2022</v>
      </c>
      <c r="C669" s="1">
        <v>44864</v>
      </c>
      <c r="D669" s="1">
        <v>44858</v>
      </c>
      <c r="E669" t="s">
        <v>104</v>
      </c>
      <c r="F669">
        <v>9</v>
      </c>
      <c r="G669" t="s">
        <v>170</v>
      </c>
    </row>
    <row r="670" spans="1:7" x14ac:dyDescent="0.25">
      <c r="A670" s="1">
        <v>44865</v>
      </c>
      <c r="B670">
        <v>2022</v>
      </c>
      <c r="C670" s="1">
        <v>44864</v>
      </c>
      <c r="D670" s="1">
        <v>44865</v>
      </c>
      <c r="E670" t="s">
        <v>105</v>
      </c>
      <c r="F670">
        <v>10</v>
      </c>
      <c r="G670" t="s">
        <v>171</v>
      </c>
    </row>
    <row r="671" spans="1:7" x14ac:dyDescent="0.25">
      <c r="A671" s="1">
        <v>44866</v>
      </c>
      <c r="B671">
        <v>2022</v>
      </c>
      <c r="C671" s="1">
        <v>44864</v>
      </c>
      <c r="D671" s="1">
        <v>44865</v>
      </c>
      <c r="E671" t="s">
        <v>105</v>
      </c>
      <c r="F671">
        <v>10</v>
      </c>
      <c r="G671" t="s">
        <v>172</v>
      </c>
    </row>
    <row r="672" spans="1:7" x14ac:dyDescent="0.25">
      <c r="A672" s="1">
        <v>44867</v>
      </c>
      <c r="B672">
        <v>2022</v>
      </c>
      <c r="C672" s="1">
        <v>44864</v>
      </c>
      <c r="D672" s="1">
        <v>44865</v>
      </c>
      <c r="E672" t="s">
        <v>105</v>
      </c>
      <c r="F672">
        <v>10</v>
      </c>
      <c r="G672" t="s">
        <v>173</v>
      </c>
    </row>
    <row r="673" spans="1:7" x14ac:dyDescent="0.25">
      <c r="A673" s="1">
        <v>44868</v>
      </c>
      <c r="B673">
        <v>2022</v>
      </c>
      <c r="C673" s="1">
        <v>44864</v>
      </c>
      <c r="D673" s="1">
        <v>44865</v>
      </c>
      <c r="E673" t="s">
        <v>105</v>
      </c>
      <c r="F673">
        <v>10</v>
      </c>
      <c r="G673" t="s">
        <v>174</v>
      </c>
    </row>
    <row r="674" spans="1:7" x14ac:dyDescent="0.25">
      <c r="A674" s="1">
        <v>44869</v>
      </c>
      <c r="B674">
        <v>2022</v>
      </c>
      <c r="C674" s="1">
        <v>44864</v>
      </c>
      <c r="D674" s="1">
        <v>44865</v>
      </c>
      <c r="E674" t="s">
        <v>105</v>
      </c>
      <c r="F674">
        <v>10</v>
      </c>
      <c r="G674" t="s">
        <v>168</v>
      </c>
    </row>
    <row r="675" spans="1:7" x14ac:dyDescent="0.25">
      <c r="A675" s="1">
        <v>44870</v>
      </c>
      <c r="B675">
        <v>2022</v>
      </c>
      <c r="C675" s="1">
        <v>44864</v>
      </c>
      <c r="D675" s="1">
        <v>44865</v>
      </c>
      <c r="E675" t="s">
        <v>105</v>
      </c>
      <c r="F675">
        <v>10</v>
      </c>
      <c r="G675" t="s">
        <v>169</v>
      </c>
    </row>
    <row r="676" spans="1:7" x14ac:dyDescent="0.25">
      <c r="A676" s="1">
        <v>44871</v>
      </c>
      <c r="B676">
        <v>2022</v>
      </c>
      <c r="C676" s="1">
        <v>44871</v>
      </c>
      <c r="D676" s="1">
        <v>44865</v>
      </c>
      <c r="E676" t="s">
        <v>105</v>
      </c>
      <c r="F676">
        <v>10</v>
      </c>
      <c r="G676" t="s">
        <v>170</v>
      </c>
    </row>
    <row r="677" spans="1:7" x14ac:dyDescent="0.25">
      <c r="A677" s="1">
        <v>44872</v>
      </c>
      <c r="B677">
        <v>2022</v>
      </c>
      <c r="C677" s="1">
        <v>44871</v>
      </c>
      <c r="D677" s="1">
        <v>44872</v>
      </c>
      <c r="E677" t="s">
        <v>106</v>
      </c>
      <c r="F677">
        <v>11</v>
      </c>
      <c r="G677" t="s">
        <v>171</v>
      </c>
    </row>
    <row r="678" spans="1:7" x14ac:dyDescent="0.25">
      <c r="A678" s="1">
        <v>44873</v>
      </c>
      <c r="B678">
        <v>2022</v>
      </c>
      <c r="C678" s="1">
        <v>44871</v>
      </c>
      <c r="D678" s="1">
        <v>44872</v>
      </c>
      <c r="E678" t="s">
        <v>106</v>
      </c>
      <c r="F678">
        <v>11</v>
      </c>
      <c r="G678" t="s">
        <v>172</v>
      </c>
    </row>
    <row r="679" spans="1:7" x14ac:dyDescent="0.25">
      <c r="A679" s="1">
        <v>44874</v>
      </c>
      <c r="B679">
        <v>2022</v>
      </c>
      <c r="C679" s="1">
        <v>44871</v>
      </c>
      <c r="D679" s="1">
        <v>44872</v>
      </c>
      <c r="E679" t="s">
        <v>106</v>
      </c>
      <c r="F679">
        <v>11</v>
      </c>
      <c r="G679" t="s">
        <v>173</v>
      </c>
    </row>
    <row r="680" spans="1:7" x14ac:dyDescent="0.25">
      <c r="A680" s="1">
        <v>44875</v>
      </c>
      <c r="B680">
        <v>2022</v>
      </c>
      <c r="C680" s="1">
        <v>44871</v>
      </c>
      <c r="D680" s="1">
        <v>44872</v>
      </c>
      <c r="E680" t="s">
        <v>106</v>
      </c>
      <c r="F680">
        <v>11</v>
      </c>
      <c r="G680" t="s">
        <v>174</v>
      </c>
    </row>
    <row r="681" spans="1:7" x14ac:dyDescent="0.25">
      <c r="A681" s="1">
        <v>44876</v>
      </c>
      <c r="B681">
        <v>2022</v>
      </c>
      <c r="C681" s="1">
        <v>44871</v>
      </c>
      <c r="D681" s="1">
        <v>44872</v>
      </c>
      <c r="E681" t="s">
        <v>106</v>
      </c>
      <c r="F681">
        <v>11</v>
      </c>
      <c r="G681" t="s">
        <v>168</v>
      </c>
    </row>
    <row r="682" spans="1:7" x14ac:dyDescent="0.25">
      <c r="A682" s="1">
        <v>44877</v>
      </c>
      <c r="B682">
        <v>2022</v>
      </c>
      <c r="C682" s="1">
        <v>44871</v>
      </c>
      <c r="D682" s="1">
        <v>44872</v>
      </c>
      <c r="E682" t="s">
        <v>106</v>
      </c>
      <c r="F682">
        <v>11</v>
      </c>
      <c r="G682" t="s">
        <v>169</v>
      </c>
    </row>
    <row r="683" spans="1:7" x14ac:dyDescent="0.25">
      <c r="A683" s="1">
        <v>44878</v>
      </c>
      <c r="B683">
        <v>2022</v>
      </c>
      <c r="C683" s="1">
        <v>44878</v>
      </c>
      <c r="D683" s="1">
        <v>44872</v>
      </c>
      <c r="E683" t="s">
        <v>106</v>
      </c>
      <c r="F683">
        <v>11</v>
      </c>
      <c r="G683" t="s">
        <v>170</v>
      </c>
    </row>
    <row r="684" spans="1:7" x14ac:dyDescent="0.25">
      <c r="A684" s="1">
        <v>44879</v>
      </c>
      <c r="B684">
        <v>2022</v>
      </c>
      <c r="C684" s="1">
        <v>44878</v>
      </c>
      <c r="D684" s="1">
        <v>44879</v>
      </c>
      <c r="E684" t="s">
        <v>107</v>
      </c>
      <c r="F684">
        <v>12</v>
      </c>
      <c r="G684" t="s">
        <v>171</v>
      </c>
    </row>
    <row r="685" spans="1:7" x14ac:dyDescent="0.25">
      <c r="A685" s="1">
        <v>44880</v>
      </c>
      <c r="B685">
        <v>2022</v>
      </c>
      <c r="C685" s="1">
        <v>44878</v>
      </c>
      <c r="D685" s="1">
        <v>44879</v>
      </c>
      <c r="E685" t="s">
        <v>107</v>
      </c>
      <c r="F685">
        <v>12</v>
      </c>
      <c r="G685" t="s">
        <v>172</v>
      </c>
    </row>
    <row r="686" spans="1:7" x14ac:dyDescent="0.25">
      <c r="A686" s="1">
        <v>44881</v>
      </c>
      <c r="B686">
        <v>2022</v>
      </c>
      <c r="C686" s="1">
        <v>44878</v>
      </c>
      <c r="D686" s="1">
        <v>44879</v>
      </c>
      <c r="E686" t="s">
        <v>107</v>
      </c>
      <c r="F686">
        <v>12</v>
      </c>
      <c r="G686" t="s">
        <v>173</v>
      </c>
    </row>
    <row r="687" spans="1:7" x14ac:dyDescent="0.25">
      <c r="A687" s="1">
        <v>44882</v>
      </c>
      <c r="B687">
        <v>2022</v>
      </c>
      <c r="C687" s="1">
        <v>44878</v>
      </c>
      <c r="D687" s="1">
        <v>44879</v>
      </c>
      <c r="E687" t="s">
        <v>107</v>
      </c>
      <c r="F687">
        <v>12</v>
      </c>
      <c r="G687" t="s">
        <v>174</v>
      </c>
    </row>
    <row r="688" spans="1:7" x14ac:dyDescent="0.25">
      <c r="A688" s="1">
        <v>44883</v>
      </c>
      <c r="B688">
        <v>2022</v>
      </c>
      <c r="C688" s="1">
        <v>44878</v>
      </c>
      <c r="D688" s="1">
        <v>44879</v>
      </c>
      <c r="E688" t="s">
        <v>107</v>
      </c>
      <c r="F688">
        <v>12</v>
      </c>
      <c r="G688" t="s">
        <v>168</v>
      </c>
    </row>
    <row r="689" spans="1:7" x14ac:dyDescent="0.25">
      <c r="A689" s="1">
        <v>44884</v>
      </c>
      <c r="B689">
        <v>2022</v>
      </c>
      <c r="C689" s="1">
        <v>44878</v>
      </c>
      <c r="D689" s="1">
        <v>44879</v>
      </c>
      <c r="E689" t="s">
        <v>107</v>
      </c>
      <c r="F689">
        <v>12</v>
      </c>
      <c r="G689" t="s">
        <v>169</v>
      </c>
    </row>
    <row r="690" spans="1:7" x14ac:dyDescent="0.25">
      <c r="A690" s="1">
        <v>44885</v>
      </c>
      <c r="B690">
        <v>2022</v>
      </c>
      <c r="C690" s="1">
        <v>44885</v>
      </c>
      <c r="D690" s="1">
        <v>44879</v>
      </c>
      <c r="E690" t="s">
        <v>107</v>
      </c>
      <c r="F690">
        <v>12</v>
      </c>
      <c r="G690" t="s">
        <v>170</v>
      </c>
    </row>
    <row r="691" spans="1:7" x14ac:dyDescent="0.25">
      <c r="A691" s="1">
        <v>44886</v>
      </c>
      <c r="B691">
        <v>2022</v>
      </c>
      <c r="C691" s="1">
        <v>44885</v>
      </c>
      <c r="D691" s="1">
        <v>44886</v>
      </c>
      <c r="E691" t="s">
        <v>108</v>
      </c>
      <c r="F691">
        <v>13</v>
      </c>
      <c r="G691" t="s">
        <v>171</v>
      </c>
    </row>
    <row r="692" spans="1:7" x14ac:dyDescent="0.25">
      <c r="A692" s="1">
        <v>44887</v>
      </c>
      <c r="B692">
        <v>2022</v>
      </c>
      <c r="C692" s="1">
        <v>44885</v>
      </c>
      <c r="D692" s="1">
        <v>44886</v>
      </c>
      <c r="E692" t="s">
        <v>108</v>
      </c>
      <c r="F692">
        <v>13</v>
      </c>
      <c r="G692" t="s">
        <v>172</v>
      </c>
    </row>
    <row r="693" spans="1:7" x14ac:dyDescent="0.25">
      <c r="A693" s="1">
        <v>44888</v>
      </c>
      <c r="B693">
        <v>2022</v>
      </c>
      <c r="C693" s="1">
        <v>44885</v>
      </c>
      <c r="D693" s="1">
        <v>44886</v>
      </c>
      <c r="E693" t="s">
        <v>108</v>
      </c>
      <c r="F693">
        <v>13</v>
      </c>
      <c r="G693" t="s">
        <v>173</v>
      </c>
    </row>
    <row r="694" spans="1:7" x14ac:dyDescent="0.25">
      <c r="A694" s="1">
        <v>44889</v>
      </c>
      <c r="B694">
        <v>2022</v>
      </c>
      <c r="C694" s="1">
        <v>44885</v>
      </c>
      <c r="D694" s="1">
        <v>44886</v>
      </c>
      <c r="E694" t="s">
        <v>108</v>
      </c>
      <c r="F694">
        <v>13</v>
      </c>
      <c r="G694" t="s">
        <v>174</v>
      </c>
    </row>
    <row r="695" spans="1:7" x14ac:dyDescent="0.25">
      <c r="A695" s="1">
        <v>44890</v>
      </c>
      <c r="B695">
        <v>2022</v>
      </c>
      <c r="C695" s="1">
        <v>44885</v>
      </c>
      <c r="D695" s="1">
        <v>44886</v>
      </c>
      <c r="E695" t="s">
        <v>108</v>
      </c>
      <c r="F695">
        <v>13</v>
      </c>
      <c r="G695" t="s">
        <v>168</v>
      </c>
    </row>
    <row r="696" spans="1:7" x14ac:dyDescent="0.25">
      <c r="A696" s="1">
        <v>44891</v>
      </c>
      <c r="B696">
        <v>2022</v>
      </c>
      <c r="C696" s="1">
        <v>44885</v>
      </c>
      <c r="D696" s="1">
        <v>44886</v>
      </c>
      <c r="E696" t="s">
        <v>108</v>
      </c>
      <c r="F696">
        <v>13</v>
      </c>
      <c r="G696" t="s">
        <v>169</v>
      </c>
    </row>
    <row r="697" spans="1:7" x14ac:dyDescent="0.25">
      <c r="A697" s="1">
        <v>44892</v>
      </c>
      <c r="B697">
        <v>2022</v>
      </c>
      <c r="C697" s="1">
        <v>44892</v>
      </c>
      <c r="D697" s="1">
        <v>44886</v>
      </c>
      <c r="E697" t="s">
        <v>108</v>
      </c>
      <c r="F697">
        <v>13</v>
      </c>
      <c r="G697" t="s">
        <v>170</v>
      </c>
    </row>
    <row r="698" spans="1:7" x14ac:dyDescent="0.25">
      <c r="A698" s="1">
        <v>44893</v>
      </c>
      <c r="B698">
        <v>2022</v>
      </c>
      <c r="C698" s="1">
        <v>44892</v>
      </c>
      <c r="D698" s="1">
        <v>44893</v>
      </c>
      <c r="E698" t="s">
        <v>109</v>
      </c>
      <c r="F698">
        <v>14</v>
      </c>
      <c r="G698" t="s">
        <v>171</v>
      </c>
    </row>
    <row r="699" spans="1:7" x14ac:dyDescent="0.25">
      <c r="A699" s="1">
        <v>44894</v>
      </c>
      <c r="B699">
        <v>2022</v>
      </c>
      <c r="C699" s="1">
        <v>44892</v>
      </c>
      <c r="D699" s="1">
        <v>44893</v>
      </c>
      <c r="E699" t="s">
        <v>109</v>
      </c>
      <c r="F699">
        <v>14</v>
      </c>
      <c r="G699" t="s">
        <v>172</v>
      </c>
    </row>
    <row r="700" spans="1:7" x14ac:dyDescent="0.25">
      <c r="A700" s="1">
        <v>44895</v>
      </c>
      <c r="B700">
        <v>2022</v>
      </c>
      <c r="C700" s="1">
        <v>44892</v>
      </c>
      <c r="D700" s="1">
        <v>44893</v>
      </c>
      <c r="E700" t="s">
        <v>109</v>
      </c>
      <c r="F700">
        <v>14</v>
      </c>
      <c r="G700" t="s">
        <v>173</v>
      </c>
    </row>
    <row r="701" spans="1:7" x14ac:dyDescent="0.25">
      <c r="A701" s="1">
        <v>44896</v>
      </c>
      <c r="B701">
        <v>2022</v>
      </c>
      <c r="C701" s="1">
        <v>44892</v>
      </c>
      <c r="D701" s="1">
        <v>44893</v>
      </c>
      <c r="E701" t="s">
        <v>109</v>
      </c>
      <c r="F701">
        <v>14</v>
      </c>
      <c r="G701" t="s">
        <v>174</v>
      </c>
    </row>
    <row r="702" spans="1:7" x14ac:dyDescent="0.25">
      <c r="A702" s="1">
        <v>44897</v>
      </c>
      <c r="B702">
        <v>2022</v>
      </c>
      <c r="C702" s="1">
        <v>44892</v>
      </c>
      <c r="D702" s="1">
        <v>44893</v>
      </c>
      <c r="E702" t="s">
        <v>109</v>
      </c>
      <c r="F702">
        <v>14</v>
      </c>
      <c r="G702" t="s">
        <v>168</v>
      </c>
    </row>
    <row r="703" spans="1:7" x14ac:dyDescent="0.25">
      <c r="A703" s="1">
        <v>44898</v>
      </c>
      <c r="B703">
        <v>2022</v>
      </c>
      <c r="C703" s="1">
        <v>44892</v>
      </c>
      <c r="D703" s="1">
        <v>44893</v>
      </c>
      <c r="E703" t="s">
        <v>109</v>
      </c>
      <c r="F703">
        <v>14</v>
      </c>
      <c r="G703" t="s">
        <v>169</v>
      </c>
    </row>
    <row r="704" spans="1:7" x14ac:dyDescent="0.25">
      <c r="A704" s="1">
        <v>44899</v>
      </c>
      <c r="B704">
        <v>2022</v>
      </c>
      <c r="C704" s="1">
        <v>44899</v>
      </c>
      <c r="D704" s="1">
        <v>44893</v>
      </c>
      <c r="E704" t="s">
        <v>109</v>
      </c>
      <c r="F704">
        <v>14</v>
      </c>
      <c r="G704" t="s">
        <v>170</v>
      </c>
    </row>
    <row r="705" spans="1:7" x14ac:dyDescent="0.25">
      <c r="A705" s="1">
        <v>44900</v>
      </c>
      <c r="B705">
        <v>2022</v>
      </c>
      <c r="C705" s="1">
        <v>44899</v>
      </c>
      <c r="D705" s="1">
        <v>44900</v>
      </c>
      <c r="E705" t="s">
        <v>110</v>
      </c>
      <c r="F705">
        <v>15</v>
      </c>
      <c r="G705" t="s">
        <v>171</v>
      </c>
    </row>
    <row r="706" spans="1:7" x14ac:dyDescent="0.25">
      <c r="A706" s="1">
        <v>44901</v>
      </c>
      <c r="B706">
        <v>2022</v>
      </c>
      <c r="C706" s="1">
        <v>44899</v>
      </c>
      <c r="D706" s="1">
        <v>44900</v>
      </c>
      <c r="E706" t="s">
        <v>110</v>
      </c>
      <c r="F706">
        <v>15</v>
      </c>
      <c r="G706" t="s">
        <v>172</v>
      </c>
    </row>
    <row r="707" spans="1:7" x14ac:dyDescent="0.25">
      <c r="A707" s="1">
        <v>44902</v>
      </c>
      <c r="B707">
        <v>2022</v>
      </c>
      <c r="C707" s="1">
        <v>44899</v>
      </c>
      <c r="D707" s="1">
        <v>44900</v>
      </c>
      <c r="E707" t="s">
        <v>110</v>
      </c>
      <c r="F707">
        <v>15</v>
      </c>
      <c r="G707" t="s">
        <v>173</v>
      </c>
    </row>
    <row r="708" spans="1:7" x14ac:dyDescent="0.25">
      <c r="A708" s="1">
        <v>44903</v>
      </c>
      <c r="B708">
        <v>2022</v>
      </c>
      <c r="C708" s="1">
        <v>44899</v>
      </c>
      <c r="D708" s="1">
        <v>44900</v>
      </c>
      <c r="E708" t="s">
        <v>110</v>
      </c>
      <c r="F708">
        <v>15</v>
      </c>
      <c r="G708" t="s">
        <v>174</v>
      </c>
    </row>
    <row r="709" spans="1:7" x14ac:dyDescent="0.25">
      <c r="A709" s="1">
        <v>44904</v>
      </c>
      <c r="B709">
        <v>2022</v>
      </c>
      <c r="C709" s="1">
        <v>44899</v>
      </c>
      <c r="D709" s="1">
        <v>44900</v>
      </c>
      <c r="E709" t="s">
        <v>110</v>
      </c>
      <c r="F709">
        <v>15</v>
      </c>
      <c r="G709" t="s">
        <v>168</v>
      </c>
    </row>
    <row r="710" spans="1:7" x14ac:dyDescent="0.25">
      <c r="A710" s="1">
        <v>44905</v>
      </c>
      <c r="B710">
        <v>2022</v>
      </c>
      <c r="C710" s="1">
        <v>44899</v>
      </c>
      <c r="D710" s="1">
        <v>44900</v>
      </c>
      <c r="E710" t="s">
        <v>110</v>
      </c>
      <c r="F710">
        <v>15</v>
      </c>
      <c r="G710" t="s">
        <v>169</v>
      </c>
    </row>
    <row r="711" spans="1:7" x14ac:dyDescent="0.25">
      <c r="A711" s="1">
        <v>44906</v>
      </c>
      <c r="B711">
        <v>2022</v>
      </c>
      <c r="C711" s="1">
        <v>44906</v>
      </c>
      <c r="D711" s="1">
        <v>44900</v>
      </c>
      <c r="E711" t="s">
        <v>110</v>
      </c>
      <c r="F711">
        <v>15</v>
      </c>
      <c r="G711" t="s">
        <v>170</v>
      </c>
    </row>
    <row r="712" spans="1:7" x14ac:dyDescent="0.25">
      <c r="A712" s="1">
        <v>44907</v>
      </c>
      <c r="B712">
        <v>2022</v>
      </c>
      <c r="C712" s="1">
        <v>44906</v>
      </c>
      <c r="D712" s="1">
        <v>44907</v>
      </c>
      <c r="E712" t="s">
        <v>111</v>
      </c>
      <c r="F712">
        <v>16</v>
      </c>
      <c r="G712" t="s">
        <v>171</v>
      </c>
    </row>
    <row r="713" spans="1:7" x14ac:dyDescent="0.25">
      <c r="A713" s="1">
        <v>44908</v>
      </c>
      <c r="B713">
        <v>2022</v>
      </c>
      <c r="C713" s="1">
        <v>44906</v>
      </c>
      <c r="D713" s="1">
        <v>44907</v>
      </c>
      <c r="E713" t="s">
        <v>111</v>
      </c>
      <c r="F713">
        <v>16</v>
      </c>
      <c r="G713" t="s">
        <v>172</v>
      </c>
    </row>
    <row r="714" spans="1:7" x14ac:dyDescent="0.25">
      <c r="A714" s="1">
        <v>44909</v>
      </c>
      <c r="B714">
        <v>2022</v>
      </c>
      <c r="C714" s="1">
        <v>44906</v>
      </c>
      <c r="D714" s="1">
        <v>44907</v>
      </c>
      <c r="E714" t="s">
        <v>111</v>
      </c>
      <c r="F714">
        <v>16</v>
      </c>
      <c r="G714" t="s">
        <v>173</v>
      </c>
    </row>
    <row r="715" spans="1:7" x14ac:dyDescent="0.25">
      <c r="A715" s="1">
        <v>44910</v>
      </c>
      <c r="B715">
        <v>2022</v>
      </c>
      <c r="C715" s="1">
        <v>44906</v>
      </c>
      <c r="D715" s="1">
        <v>44907</v>
      </c>
      <c r="E715" t="s">
        <v>111</v>
      </c>
      <c r="F715">
        <v>16</v>
      </c>
      <c r="G715" t="s">
        <v>174</v>
      </c>
    </row>
    <row r="716" spans="1:7" x14ac:dyDescent="0.25">
      <c r="A716" s="1">
        <v>44911</v>
      </c>
      <c r="B716">
        <v>2022</v>
      </c>
      <c r="C716" s="1">
        <v>44906</v>
      </c>
      <c r="D716" s="1">
        <v>44907</v>
      </c>
      <c r="E716" t="s">
        <v>111</v>
      </c>
      <c r="F716">
        <v>16</v>
      </c>
      <c r="G716" t="s">
        <v>168</v>
      </c>
    </row>
    <row r="717" spans="1:7" x14ac:dyDescent="0.25">
      <c r="A717" s="1">
        <v>44912</v>
      </c>
      <c r="B717">
        <v>2022</v>
      </c>
      <c r="C717" s="1">
        <v>44906</v>
      </c>
      <c r="D717" s="1">
        <v>44907</v>
      </c>
      <c r="E717" t="s">
        <v>111</v>
      </c>
      <c r="F717">
        <v>16</v>
      </c>
      <c r="G717" t="s">
        <v>169</v>
      </c>
    </row>
    <row r="718" spans="1:7" x14ac:dyDescent="0.25">
      <c r="A718" s="1">
        <v>44913</v>
      </c>
      <c r="B718">
        <v>2022</v>
      </c>
      <c r="C718" s="1">
        <v>44913</v>
      </c>
      <c r="D718" s="1">
        <v>44907</v>
      </c>
      <c r="E718" t="s">
        <v>111</v>
      </c>
      <c r="F718">
        <v>16</v>
      </c>
      <c r="G718" t="s">
        <v>170</v>
      </c>
    </row>
    <row r="719" spans="1:7" x14ac:dyDescent="0.25">
      <c r="A719" s="1">
        <v>44914</v>
      </c>
      <c r="B719">
        <v>2022</v>
      </c>
      <c r="C719" s="1">
        <v>44913</v>
      </c>
      <c r="D719" s="1">
        <v>44914</v>
      </c>
      <c r="E719" t="s">
        <v>112</v>
      </c>
      <c r="F719">
        <v>17</v>
      </c>
      <c r="G719" t="s">
        <v>171</v>
      </c>
    </row>
    <row r="720" spans="1:7" x14ac:dyDescent="0.25">
      <c r="A720" s="1">
        <v>44915</v>
      </c>
      <c r="B720">
        <v>2022</v>
      </c>
      <c r="C720" s="1">
        <v>44913</v>
      </c>
      <c r="D720" s="1">
        <v>44914</v>
      </c>
      <c r="E720" t="s">
        <v>112</v>
      </c>
      <c r="F720">
        <v>17</v>
      </c>
      <c r="G720" t="s">
        <v>172</v>
      </c>
    </row>
    <row r="721" spans="1:7" x14ac:dyDescent="0.25">
      <c r="A721" s="1">
        <v>44916</v>
      </c>
      <c r="B721">
        <v>2022</v>
      </c>
      <c r="C721" s="1">
        <v>44913</v>
      </c>
      <c r="D721" s="1">
        <v>44914</v>
      </c>
      <c r="E721" t="s">
        <v>112</v>
      </c>
      <c r="F721">
        <v>17</v>
      </c>
      <c r="G721" t="s">
        <v>173</v>
      </c>
    </row>
    <row r="722" spans="1:7" x14ac:dyDescent="0.25">
      <c r="A722" s="1">
        <v>44917</v>
      </c>
      <c r="B722">
        <v>2022</v>
      </c>
      <c r="C722" s="1">
        <v>44913</v>
      </c>
      <c r="D722" s="1">
        <v>44914</v>
      </c>
      <c r="E722" t="s">
        <v>112</v>
      </c>
      <c r="F722">
        <v>17</v>
      </c>
      <c r="G722" t="s">
        <v>174</v>
      </c>
    </row>
    <row r="723" spans="1:7" x14ac:dyDescent="0.25">
      <c r="A723" s="1">
        <v>44918</v>
      </c>
      <c r="B723">
        <v>2022</v>
      </c>
      <c r="C723" s="1">
        <v>44913</v>
      </c>
      <c r="D723" s="1">
        <v>44914</v>
      </c>
      <c r="E723" t="s">
        <v>112</v>
      </c>
      <c r="F723">
        <v>17</v>
      </c>
      <c r="G723" t="s">
        <v>168</v>
      </c>
    </row>
    <row r="724" spans="1:7" x14ac:dyDescent="0.25">
      <c r="A724" s="1">
        <v>44919</v>
      </c>
      <c r="B724">
        <v>2022</v>
      </c>
      <c r="C724" s="1">
        <v>44913</v>
      </c>
      <c r="D724" s="1">
        <v>44914</v>
      </c>
      <c r="E724" t="s">
        <v>112</v>
      </c>
      <c r="F724">
        <v>17</v>
      </c>
      <c r="G724" t="s">
        <v>169</v>
      </c>
    </row>
    <row r="725" spans="1:7" x14ac:dyDescent="0.25">
      <c r="A725" s="1">
        <v>44920</v>
      </c>
      <c r="B725">
        <v>2022</v>
      </c>
      <c r="C725" s="1">
        <v>44920</v>
      </c>
      <c r="D725" s="1">
        <v>44914</v>
      </c>
      <c r="E725" t="s">
        <v>112</v>
      </c>
      <c r="F725">
        <v>17</v>
      </c>
      <c r="G725" t="s">
        <v>170</v>
      </c>
    </row>
    <row r="726" spans="1:7" x14ac:dyDescent="0.25">
      <c r="A726" s="1">
        <v>44921</v>
      </c>
      <c r="B726">
        <v>2022</v>
      </c>
      <c r="C726" s="1">
        <v>44920</v>
      </c>
      <c r="D726" s="1">
        <v>44921</v>
      </c>
      <c r="E726" t="s">
        <v>113</v>
      </c>
      <c r="F726">
        <v>18</v>
      </c>
      <c r="G726" t="s">
        <v>171</v>
      </c>
    </row>
    <row r="727" spans="1:7" x14ac:dyDescent="0.25">
      <c r="A727" s="1">
        <v>44922</v>
      </c>
      <c r="B727">
        <v>2022</v>
      </c>
      <c r="C727" s="1">
        <v>44920</v>
      </c>
      <c r="D727" s="1">
        <v>44921</v>
      </c>
      <c r="E727" t="s">
        <v>113</v>
      </c>
      <c r="F727">
        <v>18</v>
      </c>
      <c r="G727" t="s">
        <v>172</v>
      </c>
    </row>
    <row r="728" spans="1:7" x14ac:dyDescent="0.25">
      <c r="A728" s="1">
        <v>44923</v>
      </c>
      <c r="B728">
        <v>2022</v>
      </c>
      <c r="C728" s="1">
        <v>44920</v>
      </c>
      <c r="D728" s="1">
        <v>44921</v>
      </c>
      <c r="E728" t="s">
        <v>113</v>
      </c>
      <c r="F728">
        <v>18</v>
      </c>
      <c r="G728" t="s">
        <v>173</v>
      </c>
    </row>
    <row r="729" spans="1:7" x14ac:dyDescent="0.25">
      <c r="A729" s="1">
        <v>44924</v>
      </c>
      <c r="B729">
        <v>2022</v>
      </c>
      <c r="C729" s="1">
        <v>44920</v>
      </c>
      <c r="D729" s="1">
        <v>44921</v>
      </c>
      <c r="E729" t="s">
        <v>113</v>
      </c>
      <c r="F729">
        <v>18</v>
      </c>
      <c r="G729" t="s">
        <v>174</v>
      </c>
    </row>
    <row r="730" spans="1:7" x14ac:dyDescent="0.25">
      <c r="A730" s="1">
        <v>44925</v>
      </c>
      <c r="B730">
        <v>2022</v>
      </c>
      <c r="C730" s="1">
        <v>44920</v>
      </c>
      <c r="D730" s="1">
        <v>44921</v>
      </c>
      <c r="E730" t="s">
        <v>113</v>
      </c>
      <c r="F730">
        <v>18</v>
      </c>
      <c r="G730" t="s">
        <v>168</v>
      </c>
    </row>
    <row r="731" spans="1:7" x14ac:dyDescent="0.25">
      <c r="A731" s="1">
        <v>44926</v>
      </c>
      <c r="B731">
        <v>2022</v>
      </c>
      <c r="C731" s="1">
        <v>44920</v>
      </c>
      <c r="D731" s="1">
        <v>44921</v>
      </c>
      <c r="E731" t="s">
        <v>113</v>
      </c>
      <c r="F731">
        <v>18</v>
      </c>
      <c r="G731" t="s">
        <v>169</v>
      </c>
    </row>
    <row r="732" spans="1:7" x14ac:dyDescent="0.25">
      <c r="A732" s="1">
        <v>44927</v>
      </c>
      <c r="B732">
        <v>2023</v>
      </c>
      <c r="C732" s="1">
        <v>44927</v>
      </c>
      <c r="D732" s="1">
        <v>44921</v>
      </c>
      <c r="E732" t="s">
        <v>113</v>
      </c>
      <c r="F732">
        <v>18</v>
      </c>
      <c r="G732" t="s">
        <v>170</v>
      </c>
    </row>
    <row r="733" spans="1:7" x14ac:dyDescent="0.25">
      <c r="A733" s="1">
        <v>44928</v>
      </c>
      <c r="B733">
        <v>2023</v>
      </c>
      <c r="C733" s="1">
        <v>44927</v>
      </c>
      <c r="D733" s="1">
        <v>44928</v>
      </c>
      <c r="E733" t="s">
        <v>114</v>
      </c>
      <c r="F733">
        <v>19</v>
      </c>
      <c r="G733" t="s">
        <v>171</v>
      </c>
    </row>
    <row r="734" spans="1:7" x14ac:dyDescent="0.25">
      <c r="A734" s="1">
        <v>44929</v>
      </c>
      <c r="B734">
        <v>2023</v>
      </c>
      <c r="C734" s="1">
        <v>44927</v>
      </c>
      <c r="D734" s="1">
        <v>44928</v>
      </c>
      <c r="E734" t="s">
        <v>114</v>
      </c>
      <c r="F734">
        <v>19</v>
      </c>
      <c r="G734" t="s">
        <v>172</v>
      </c>
    </row>
    <row r="735" spans="1:7" x14ac:dyDescent="0.25">
      <c r="A735" s="1">
        <v>44930</v>
      </c>
      <c r="B735">
        <v>2023</v>
      </c>
      <c r="C735" s="1">
        <v>44927</v>
      </c>
      <c r="D735" s="1">
        <v>44928</v>
      </c>
      <c r="E735" t="s">
        <v>114</v>
      </c>
      <c r="F735">
        <v>19</v>
      </c>
      <c r="G735" t="s">
        <v>173</v>
      </c>
    </row>
    <row r="736" spans="1:7" x14ac:dyDescent="0.25">
      <c r="A736" s="1">
        <v>44931</v>
      </c>
      <c r="B736">
        <v>2023</v>
      </c>
      <c r="C736" s="1">
        <v>44927</v>
      </c>
      <c r="D736" s="1">
        <v>44928</v>
      </c>
      <c r="E736" t="s">
        <v>114</v>
      </c>
      <c r="F736">
        <v>19</v>
      </c>
      <c r="G736" t="s">
        <v>174</v>
      </c>
    </row>
    <row r="737" spans="1:7" x14ac:dyDescent="0.25">
      <c r="A737" s="1">
        <v>44932</v>
      </c>
      <c r="B737">
        <v>2023</v>
      </c>
      <c r="C737" s="1">
        <v>44927</v>
      </c>
      <c r="D737" s="1">
        <v>44928</v>
      </c>
      <c r="E737" t="s">
        <v>114</v>
      </c>
      <c r="F737">
        <v>19</v>
      </c>
      <c r="G737" t="s">
        <v>168</v>
      </c>
    </row>
    <row r="738" spans="1:7" x14ac:dyDescent="0.25">
      <c r="A738" s="1">
        <v>44933</v>
      </c>
      <c r="B738">
        <v>2023</v>
      </c>
      <c r="C738" s="1">
        <v>44927</v>
      </c>
      <c r="D738" s="1">
        <v>44928</v>
      </c>
      <c r="E738" t="s">
        <v>114</v>
      </c>
      <c r="F738">
        <v>19</v>
      </c>
      <c r="G738" t="s">
        <v>169</v>
      </c>
    </row>
    <row r="739" spans="1:7" x14ac:dyDescent="0.25">
      <c r="A739" s="1">
        <v>44934</v>
      </c>
      <c r="B739">
        <v>2023</v>
      </c>
      <c r="C739" s="1">
        <v>44934</v>
      </c>
      <c r="D739" s="1">
        <v>44928</v>
      </c>
      <c r="E739" t="s">
        <v>114</v>
      </c>
      <c r="F739">
        <v>19</v>
      </c>
      <c r="G739" t="s">
        <v>170</v>
      </c>
    </row>
    <row r="740" spans="1:7" x14ac:dyDescent="0.25">
      <c r="A740" s="1">
        <v>44935</v>
      </c>
      <c r="B740">
        <v>2023</v>
      </c>
      <c r="C740" s="1">
        <v>44934</v>
      </c>
      <c r="D740" s="1">
        <v>44935</v>
      </c>
      <c r="E740" t="s">
        <v>115</v>
      </c>
      <c r="F740">
        <v>20</v>
      </c>
      <c r="G740" t="s">
        <v>171</v>
      </c>
    </row>
    <row r="741" spans="1:7" x14ac:dyDescent="0.25">
      <c r="A741" s="1">
        <v>44936</v>
      </c>
      <c r="B741">
        <v>2023</v>
      </c>
      <c r="C741" s="1">
        <v>44934</v>
      </c>
      <c r="D741" s="1">
        <v>44935</v>
      </c>
      <c r="E741" t="s">
        <v>115</v>
      </c>
      <c r="F741">
        <v>20</v>
      </c>
      <c r="G741" t="s">
        <v>172</v>
      </c>
    </row>
    <row r="742" spans="1:7" x14ac:dyDescent="0.25">
      <c r="A742" s="1">
        <v>44937</v>
      </c>
      <c r="B742">
        <v>2023</v>
      </c>
      <c r="C742" s="1">
        <v>44934</v>
      </c>
      <c r="D742" s="1">
        <v>44935</v>
      </c>
      <c r="E742" t="s">
        <v>115</v>
      </c>
      <c r="F742">
        <v>20</v>
      </c>
      <c r="G742" t="s">
        <v>173</v>
      </c>
    </row>
    <row r="743" spans="1:7" x14ac:dyDescent="0.25">
      <c r="A743" s="1">
        <v>44938</v>
      </c>
      <c r="B743">
        <v>2023</v>
      </c>
      <c r="C743" s="1">
        <v>44934</v>
      </c>
      <c r="D743" s="1">
        <v>44935</v>
      </c>
      <c r="E743" t="s">
        <v>115</v>
      </c>
      <c r="F743">
        <v>20</v>
      </c>
      <c r="G743" t="s">
        <v>174</v>
      </c>
    </row>
    <row r="744" spans="1:7" x14ac:dyDescent="0.25">
      <c r="A744" s="1">
        <v>44939</v>
      </c>
      <c r="B744">
        <v>2023</v>
      </c>
      <c r="C744" s="1">
        <v>44934</v>
      </c>
      <c r="D744" s="1">
        <v>44935</v>
      </c>
      <c r="E744" t="s">
        <v>115</v>
      </c>
      <c r="F744">
        <v>20</v>
      </c>
      <c r="G744" t="s">
        <v>168</v>
      </c>
    </row>
    <row r="745" spans="1:7" x14ac:dyDescent="0.25">
      <c r="A745" s="1">
        <v>44940</v>
      </c>
      <c r="B745">
        <v>2023</v>
      </c>
      <c r="C745" s="1">
        <v>44934</v>
      </c>
      <c r="D745" s="1">
        <v>44935</v>
      </c>
      <c r="E745" t="s">
        <v>115</v>
      </c>
      <c r="F745">
        <v>20</v>
      </c>
      <c r="G745" t="s">
        <v>169</v>
      </c>
    </row>
    <row r="746" spans="1:7" x14ac:dyDescent="0.25">
      <c r="A746" s="1">
        <v>44941</v>
      </c>
      <c r="B746">
        <v>2023</v>
      </c>
      <c r="C746" s="1">
        <v>44941</v>
      </c>
      <c r="D746" s="1">
        <v>44935</v>
      </c>
      <c r="E746" t="s">
        <v>115</v>
      </c>
      <c r="F746">
        <v>20</v>
      </c>
      <c r="G746" t="s">
        <v>170</v>
      </c>
    </row>
    <row r="747" spans="1:7" x14ac:dyDescent="0.25">
      <c r="A747" s="1">
        <v>44942</v>
      </c>
      <c r="B747">
        <v>2023</v>
      </c>
      <c r="C747" s="1">
        <v>44941</v>
      </c>
      <c r="D747" s="1">
        <v>44942</v>
      </c>
      <c r="E747" t="s">
        <v>116</v>
      </c>
      <c r="F747">
        <v>21</v>
      </c>
      <c r="G747" t="s">
        <v>171</v>
      </c>
    </row>
    <row r="748" spans="1:7" x14ac:dyDescent="0.25">
      <c r="A748" s="1">
        <v>44943</v>
      </c>
      <c r="B748">
        <v>2023</v>
      </c>
      <c r="C748" s="1">
        <v>44941</v>
      </c>
      <c r="D748" s="1">
        <v>44942</v>
      </c>
      <c r="E748" t="s">
        <v>116</v>
      </c>
      <c r="F748">
        <v>21</v>
      </c>
      <c r="G748" t="s">
        <v>172</v>
      </c>
    </row>
    <row r="749" spans="1:7" x14ac:dyDescent="0.25">
      <c r="A749" s="1">
        <v>44944</v>
      </c>
      <c r="B749">
        <v>2023</v>
      </c>
      <c r="C749" s="1">
        <v>44941</v>
      </c>
      <c r="D749" s="1">
        <v>44942</v>
      </c>
      <c r="E749" t="s">
        <v>116</v>
      </c>
      <c r="F749">
        <v>21</v>
      </c>
      <c r="G749" t="s">
        <v>173</v>
      </c>
    </row>
    <row r="750" spans="1:7" x14ac:dyDescent="0.25">
      <c r="A750" s="1">
        <v>44945</v>
      </c>
      <c r="B750">
        <v>2023</v>
      </c>
      <c r="C750" s="1">
        <v>44941</v>
      </c>
      <c r="D750" s="1">
        <v>44942</v>
      </c>
      <c r="E750" t="s">
        <v>116</v>
      </c>
      <c r="F750">
        <v>21</v>
      </c>
      <c r="G750" t="s">
        <v>174</v>
      </c>
    </row>
    <row r="751" spans="1:7" x14ac:dyDescent="0.25">
      <c r="A751" s="1">
        <v>44946</v>
      </c>
      <c r="B751">
        <v>2023</v>
      </c>
      <c r="C751" s="1">
        <v>44941</v>
      </c>
      <c r="D751" s="1">
        <v>44942</v>
      </c>
      <c r="E751" t="s">
        <v>116</v>
      </c>
      <c r="F751">
        <v>21</v>
      </c>
      <c r="G751" t="s">
        <v>168</v>
      </c>
    </row>
    <row r="752" spans="1:7" x14ac:dyDescent="0.25">
      <c r="A752" s="1">
        <v>44947</v>
      </c>
      <c r="B752">
        <v>2023</v>
      </c>
      <c r="C752" s="1">
        <v>44941</v>
      </c>
      <c r="D752" s="1">
        <v>44942</v>
      </c>
      <c r="E752" t="s">
        <v>116</v>
      </c>
      <c r="F752">
        <v>21</v>
      </c>
      <c r="G752" t="s">
        <v>169</v>
      </c>
    </row>
    <row r="753" spans="1:7" x14ac:dyDescent="0.25">
      <c r="A753" s="1">
        <v>44948</v>
      </c>
      <c r="B753">
        <v>2023</v>
      </c>
      <c r="C753" s="1">
        <v>44948</v>
      </c>
      <c r="D753" s="1">
        <v>44942</v>
      </c>
      <c r="E753" t="s">
        <v>116</v>
      </c>
      <c r="F753">
        <v>21</v>
      </c>
      <c r="G753" t="s">
        <v>170</v>
      </c>
    </row>
    <row r="754" spans="1:7" x14ac:dyDescent="0.25">
      <c r="A754" s="1">
        <v>44949</v>
      </c>
      <c r="B754">
        <v>2023</v>
      </c>
      <c r="C754" s="1">
        <v>44948</v>
      </c>
      <c r="D754" s="1">
        <v>44949</v>
      </c>
      <c r="E754" t="s">
        <v>117</v>
      </c>
      <c r="F754">
        <v>22</v>
      </c>
      <c r="G754" t="s">
        <v>171</v>
      </c>
    </row>
    <row r="755" spans="1:7" x14ac:dyDescent="0.25">
      <c r="A755" s="1">
        <v>44950</v>
      </c>
      <c r="B755">
        <v>2023</v>
      </c>
      <c r="C755" s="1">
        <v>44948</v>
      </c>
      <c r="D755" s="1">
        <v>44949</v>
      </c>
      <c r="E755" t="s">
        <v>117</v>
      </c>
      <c r="F755">
        <v>22</v>
      </c>
      <c r="G755" t="s">
        <v>172</v>
      </c>
    </row>
    <row r="756" spans="1:7" x14ac:dyDescent="0.25">
      <c r="A756" s="1">
        <v>44951</v>
      </c>
      <c r="B756">
        <v>2023</v>
      </c>
      <c r="C756" s="1">
        <v>44948</v>
      </c>
      <c r="D756" s="1">
        <v>44949</v>
      </c>
      <c r="E756" t="s">
        <v>117</v>
      </c>
      <c r="F756">
        <v>22</v>
      </c>
      <c r="G756" t="s">
        <v>173</v>
      </c>
    </row>
    <row r="757" spans="1:7" x14ac:dyDescent="0.25">
      <c r="A757" s="1">
        <v>44952</v>
      </c>
      <c r="B757">
        <v>2023</v>
      </c>
      <c r="C757" s="1">
        <v>44948</v>
      </c>
      <c r="D757" s="1">
        <v>44949</v>
      </c>
      <c r="E757" t="s">
        <v>117</v>
      </c>
      <c r="F757">
        <v>22</v>
      </c>
      <c r="G757" t="s">
        <v>174</v>
      </c>
    </row>
    <row r="758" spans="1:7" x14ac:dyDescent="0.25">
      <c r="A758" s="1">
        <v>44953</v>
      </c>
      <c r="B758">
        <v>2023</v>
      </c>
      <c r="C758" s="1">
        <v>44948</v>
      </c>
      <c r="D758" s="1">
        <v>44949</v>
      </c>
      <c r="E758" t="s">
        <v>117</v>
      </c>
      <c r="F758">
        <v>22</v>
      </c>
      <c r="G758" t="s">
        <v>168</v>
      </c>
    </row>
    <row r="759" spans="1:7" x14ac:dyDescent="0.25">
      <c r="A759" s="1">
        <v>44954</v>
      </c>
      <c r="B759">
        <v>2023</v>
      </c>
      <c r="C759" s="1">
        <v>44948</v>
      </c>
      <c r="D759" s="1">
        <v>44949</v>
      </c>
      <c r="E759" t="s">
        <v>117</v>
      </c>
      <c r="F759">
        <v>22</v>
      </c>
      <c r="G759" t="s">
        <v>169</v>
      </c>
    </row>
    <row r="760" spans="1:7" x14ac:dyDescent="0.25">
      <c r="A760" s="1">
        <v>44955</v>
      </c>
      <c r="B760">
        <v>2023</v>
      </c>
      <c r="C760" s="1">
        <v>44955</v>
      </c>
      <c r="D760" s="1">
        <v>44949</v>
      </c>
      <c r="E760" t="s">
        <v>117</v>
      </c>
      <c r="F760">
        <v>22</v>
      </c>
      <c r="G760" t="s">
        <v>170</v>
      </c>
    </row>
    <row r="761" spans="1:7" x14ac:dyDescent="0.25">
      <c r="A761" s="1">
        <v>44956</v>
      </c>
      <c r="B761">
        <v>2023</v>
      </c>
      <c r="C761" s="1">
        <v>44955</v>
      </c>
      <c r="D761" s="1">
        <v>44956</v>
      </c>
      <c r="E761" t="s">
        <v>118</v>
      </c>
      <c r="F761">
        <v>23</v>
      </c>
      <c r="G761" t="s">
        <v>171</v>
      </c>
    </row>
    <row r="762" spans="1:7" x14ac:dyDescent="0.25">
      <c r="A762" s="1">
        <v>44957</v>
      </c>
      <c r="B762">
        <v>2023</v>
      </c>
      <c r="C762" s="1">
        <v>44955</v>
      </c>
      <c r="D762" s="1">
        <v>44956</v>
      </c>
      <c r="E762" t="s">
        <v>118</v>
      </c>
      <c r="F762">
        <v>23</v>
      </c>
      <c r="G762" t="s">
        <v>172</v>
      </c>
    </row>
    <row r="763" spans="1:7" x14ac:dyDescent="0.25">
      <c r="A763" s="1">
        <v>44958</v>
      </c>
      <c r="B763">
        <v>2023</v>
      </c>
      <c r="C763" s="1">
        <v>44955</v>
      </c>
      <c r="D763" s="1">
        <v>44956</v>
      </c>
      <c r="E763" t="s">
        <v>118</v>
      </c>
      <c r="F763">
        <v>23</v>
      </c>
      <c r="G763" t="s">
        <v>173</v>
      </c>
    </row>
    <row r="764" spans="1:7" x14ac:dyDescent="0.25">
      <c r="A764" s="1">
        <v>44959</v>
      </c>
      <c r="B764">
        <v>2023</v>
      </c>
      <c r="C764" s="1">
        <v>44955</v>
      </c>
      <c r="D764" s="1">
        <v>44956</v>
      </c>
      <c r="E764" t="s">
        <v>118</v>
      </c>
      <c r="F764">
        <v>23</v>
      </c>
      <c r="G764" t="s">
        <v>174</v>
      </c>
    </row>
    <row r="765" spans="1:7" x14ac:dyDescent="0.25">
      <c r="A765" s="1">
        <v>44960</v>
      </c>
      <c r="B765">
        <v>2023</v>
      </c>
      <c r="C765" s="1">
        <v>44955</v>
      </c>
      <c r="D765" s="1">
        <v>44956</v>
      </c>
      <c r="E765" t="s">
        <v>118</v>
      </c>
      <c r="F765">
        <v>23</v>
      </c>
      <c r="G765" t="s">
        <v>168</v>
      </c>
    </row>
    <row r="766" spans="1:7" x14ac:dyDescent="0.25">
      <c r="A766" s="1">
        <v>44961</v>
      </c>
      <c r="B766">
        <v>2023</v>
      </c>
      <c r="C766" s="1">
        <v>44955</v>
      </c>
      <c r="D766" s="1">
        <v>44956</v>
      </c>
      <c r="E766" t="s">
        <v>118</v>
      </c>
      <c r="F766">
        <v>23</v>
      </c>
      <c r="G766" t="s">
        <v>169</v>
      </c>
    </row>
    <row r="767" spans="1:7" x14ac:dyDescent="0.25">
      <c r="A767" s="1">
        <v>44962</v>
      </c>
      <c r="B767">
        <v>2023</v>
      </c>
      <c r="C767" s="1">
        <v>44962</v>
      </c>
      <c r="D767" s="1">
        <v>44956</v>
      </c>
      <c r="E767" t="s">
        <v>118</v>
      </c>
      <c r="F767">
        <v>23</v>
      </c>
      <c r="G767" t="s">
        <v>170</v>
      </c>
    </row>
    <row r="768" spans="1:7" x14ac:dyDescent="0.25">
      <c r="A768" s="1">
        <v>44963</v>
      </c>
      <c r="B768">
        <v>2023</v>
      </c>
      <c r="C768" s="1">
        <v>44962</v>
      </c>
      <c r="D768" s="1">
        <v>44963</v>
      </c>
      <c r="E768" t="s">
        <v>119</v>
      </c>
      <c r="F768">
        <v>24</v>
      </c>
      <c r="G768" t="s">
        <v>171</v>
      </c>
    </row>
    <row r="769" spans="1:7" x14ac:dyDescent="0.25">
      <c r="A769" s="1">
        <v>44964</v>
      </c>
      <c r="B769">
        <v>2023</v>
      </c>
      <c r="C769" s="1">
        <v>44962</v>
      </c>
      <c r="D769" s="1">
        <v>44963</v>
      </c>
      <c r="E769" t="s">
        <v>119</v>
      </c>
      <c r="F769">
        <v>24</v>
      </c>
      <c r="G769" t="s">
        <v>172</v>
      </c>
    </row>
    <row r="770" spans="1:7" x14ac:dyDescent="0.25">
      <c r="A770" s="1">
        <v>44965</v>
      </c>
      <c r="B770">
        <v>2023</v>
      </c>
      <c r="C770" s="1">
        <v>44962</v>
      </c>
      <c r="D770" s="1">
        <v>44963</v>
      </c>
      <c r="E770" t="s">
        <v>119</v>
      </c>
      <c r="F770">
        <v>24</v>
      </c>
      <c r="G770" t="s">
        <v>173</v>
      </c>
    </row>
    <row r="771" spans="1:7" x14ac:dyDescent="0.25">
      <c r="A771" s="1">
        <v>44966</v>
      </c>
      <c r="B771">
        <v>2023</v>
      </c>
      <c r="C771" s="1">
        <v>44962</v>
      </c>
      <c r="D771" s="1">
        <v>44963</v>
      </c>
      <c r="E771" t="s">
        <v>119</v>
      </c>
      <c r="F771">
        <v>24</v>
      </c>
      <c r="G771" t="s">
        <v>174</v>
      </c>
    </row>
    <row r="772" spans="1:7" x14ac:dyDescent="0.25">
      <c r="A772" s="1">
        <v>44967</v>
      </c>
      <c r="B772">
        <v>2023</v>
      </c>
      <c r="C772" s="1">
        <v>44962</v>
      </c>
      <c r="D772" s="1">
        <v>44963</v>
      </c>
      <c r="E772" t="s">
        <v>119</v>
      </c>
      <c r="F772">
        <v>24</v>
      </c>
      <c r="G772" t="s">
        <v>168</v>
      </c>
    </row>
    <row r="773" spans="1:7" x14ac:dyDescent="0.25">
      <c r="A773" s="1">
        <v>44968</v>
      </c>
      <c r="B773">
        <v>2023</v>
      </c>
      <c r="C773" s="1">
        <v>44962</v>
      </c>
      <c r="D773" s="1">
        <v>44963</v>
      </c>
      <c r="E773" t="s">
        <v>119</v>
      </c>
      <c r="F773">
        <v>24</v>
      </c>
      <c r="G773" t="s">
        <v>169</v>
      </c>
    </row>
    <row r="774" spans="1:7" x14ac:dyDescent="0.25">
      <c r="A774" s="1">
        <v>44969</v>
      </c>
      <c r="B774">
        <v>2023</v>
      </c>
      <c r="C774" s="1">
        <v>44969</v>
      </c>
      <c r="D774" s="1">
        <v>44963</v>
      </c>
      <c r="E774" t="s">
        <v>119</v>
      </c>
      <c r="F774">
        <v>24</v>
      </c>
      <c r="G774" t="s">
        <v>170</v>
      </c>
    </row>
    <row r="775" spans="1:7" x14ac:dyDescent="0.25">
      <c r="A775" s="1">
        <v>44970</v>
      </c>
      <c r="B775">
        <v>2023</v>
      </c>
      <c r="C775" s="1">
        <v>44969</v>
      </c>
      <c r="D775" s="1">
        <v>44970</v>
      </c>
      <c r="E775" t="s">
        <v>120</v>
      </c>
      <c r="F775">
        <v>25</v>
      </c>
      <c r="G775" t="s">
        <v>171</v>
      </c>
    </row>
    <row r="776" spans="1:7" x14ac:dyDescent="0.25">
      <c r="A776" s="1">
        <v>44971</v>
      </c>
      <c r="B776">
        <v>2023</v>
      </c>
      <c r="C776" s="1">
        <v>44969</v>
      </c>
      <c r="D776" s="1">
        <v>44970</v>
      </c>
      <c r="E776" t="s">
        <v>120</v>
      </c>
      <c r="F776">
        <v>25</v>
      </c>
      <c r="G776" t="s">
        <v>172</v>
      </c>
    </row>
    <row r="777" spans="1:7" x14ac:dyDescent="0.25">
      <c r="A777" s="1">
        <v>44972</v>
      </c>
      <c r="B777">
        <v>2023</v>
      </c>
      <c r="C777" s="1">
        <v>44969</v>
      </c>
      <c r="D777" s="1">
        <v>44970</v>
      </c>
      <c r="E777" t="s">
        <v>120</v>
      </c>
      <c r="F777">
        <v>25</v>
      </c>
      <c r="G777" t="s">
        <v>173</v>
      </c>
    </row>
    <row r="778" spans="1:7" x14ac:dyDescent="0.25">
      <c r="A778" s="1">
        <v>44973</v>
      </c>
      <c r="B778">
        <v>2023</v>
      </c>
      <c r="C778" s="1">
        <v>44969</v>
      </c>
      <c r="D778" s="1">
        <v>44970</v>
      </c>
      <c r="E778" t="s">
        <v>120</v>
      </c>
      <c r="F778">
        <v>25</v>
      </c>
      <c r="G778" t="s">
        <v>174</v>
      </c>
    </row>
    <row r="779" spans="1:7" x14ac:dyDescent="0.25">
      <c r="A779" s="1">
        <v>44974</v>
      </c>
      <c r="B779">
        <v>2023</v>
      </c>
      <c r="C779" s="1">
        <v>44969</v>
      </c>
      <c r="D779" s="1">
        <v>44970</v>
      </c>
      <c r="E779" t="s">
        <v>120</v>
      </c>
      <c r="F779">
        <v>25</v>
      </c>
      <c r="G779" t="s">
        <v>168</v>
      </c>
    </row>
    <row r="780" spans="1:7" x14ac:dyDescent="0.25">
      <c r="A780" s="1">
        <v>44975</v>
      </c>
      <c r="B780">
        <v>2023</v>
      </c>
      <c r="C780" s="1">
        <v>44969</v>
      </c>
      <c r="D780" s="1">
        <v>44970</v>
      </c>
      <c r="E780" t="s">
        <v>120</v>
      </c>
      <c r="F780">
        <v>25</v>
      </c>
      <c r="G780" t="s">
        <v>169</v>
      </c>
    </row>
    <row r="781" spans="1:7" x14ac:dyDescent="0.25">
      <c r="A781" s="1">
        <v>44976</v>
      </c>
      <c r="B781">
        <v>2023</v>
      </c>
      <c r="C781" s="1">
        <v>44976</v>
      </c>
      <c r="D781" s="1">
        <v>44970</v>
      </c>
      <c r="E781" t="s">
        <v>120</v>
      </c>
      <c r="F781">
        <v>25</v>
      </c>
      <c r="G781" t="s">
        <v>170</v>
      </c>
    </row>
    <row r="782" spans="1:7" x14ac:dyDescent="0.25">
      <c r="A782" s="1">
        <v>44977</v>
      </c>
      <c r="B782">
        <v>2023</v>
      </c>
      <c r="C782" s="1">
        <v>44976</v>
      </c>
      <c r="D782" s="1">
        <v>44977</v>
      </c>
      <c r="E782" t="s">
        <v>121</v>
      </c>
      <c r="F782">
        <v>26</v>
      </c>
      <c r="G782" t="s">
        <v>171</v>
      </c>
    </row>
    <row r="783" spans="1:7" x14ac:dyDescent="0.25">
      <c r="A783" s="1">
        <v>44978</v>
      </c>
      <c r="B783">
        <v>2023</v>
      </c>
      <c r="C783" s="1">
        <v>44976</v>
      </c>
      <c r="D783" s="1">
        <v>44977</v>
      </c>
      <c r="E783" t="s">
        <v>121</v>
      </c>
      <c r="F783">
        <v>26</v>
      </c>
      <c r="G783" t="s">
        <v>172</v>
      </c>
    </row>
    <row r="784" spans="1:7" x14ac:dyDescent="0.25">
      <c r="A784" s="1">
        <v>44979</v>
      </c>
      <c r="B784">
        <v>2023</v>
      </c>
      <c r="C784" s="1">
        <v>44976</v>
      </c>
      <c r="D784" s="1">
        <v>44977</v>
      </c>
      <c r="E784" t="s">
        <v>121</v>
      </c>
      <c r="F784">
        <v>26</v>
      </c>
      <c r="G784" t="s">
        <v>173</v>
      </c>
    </row>
    <row r="785" spans="1:7" x14ac:dyDescent="0.25">
      <c r="A785" s="1">
        <v>44980</v>
      </c>
      <c r="B785">
        <v>2023</v>
      </c>
      <c r="C785" s="1">
        <v>44976</v>
      </c>
      <c r="D785" s="1">
        <v>44977</v>
      </c>
      <c r="E785" t="s">
        <v>121</v>
      </c>
      <c r="F785">
        <v>26</v>
      </c>
      <c r="G785" t="s">
        <v>174</v>
      </c>
    </row>
    <row r="786" spans="1:7" x14ac:dyDescent="0.25">
      <c r="A786" s="1">
        <v>44981</v>
      </c>
      <c r="B786">
        <v>2023</v>
      </c>
      <c r="C786" s="1">
        <v>44976</v>
      </c>
      <c r="D786" s="1">
        <v>44977</v>
      </c>
      <c r="E786" t="s">
        <v>121</v>
      </c>
      <c r="F786">
        <v>26</v>
      </c>
      <c r="G786" t="s">
        <v>168</v>
      </c>
    </row>
    <row r="787" spans="1:7" x14ac:dyDescent="0.25">
      <c r="A787" s="1">
        <v>44982</v>
      </c>
      <c r="B787">
        <v>2023</v>
      </c>
      <c r="C787" s="1">
        <v>44976</v>
      </c>
      <c r="D787" s="1">
        <v>44977</v>
      </c>
      <c r="E787" t="s">
        <v>121</v>
      </c>
      <c r="F787">
        <v>26</v>
      </c>
      <c r="G787" t="s">
        <v>169</v>
      </c>
    </row>
    <row r="788" spans="1:7" x14ac:dyDescent="0.25">
      <c r="A788" s="1">
        <v>44983</v>
      </c>
      <c r="B788">
        <v>2023</v>
      </c>
      <c r="C788" s="1">
        <v>44983</v>
      </c>
      <c r="D788" s="1">
        <v>44977</v>
      </c>
      <c r="E788" t="s">
        <v>121</v>
      </c>
      <c r="F788">
        <v>26</v>
      </c>
      <c r="G788" t="s">
        <v>170</v>
      </c>
    </row>
    <row r="789" spans="1:7" x14ac:dyDescent="0.25">
      <c r="A789" s="1">
        <v>44984</v>
      </c>
      <c r="B789">
        <v>2023</v>
      </c>
      <c r="C789" s="1">
        <v>44983</v>
      </c>
      <c r="D789" s="1">
        <v>44984</v>
      </c>
      <c r="E789" t="s">
        <v>122</v>
      </c>
      <c r="F789">
        <v>27</v>
      </c>
      <c r="G789" t="s">
        <v>171</v>
      </c>
    </row>
    <row r="790" spans="1:7" x14ac:dyDescent="0.25">
      <c r="A790" s="1">
        <v>44985</v>
      </c>
      <c r="B790">
        <v>2023</v>
      </c>
      <c r="C790" s="1">
        <v>44983</v>
      </c>
      <c r="D790" s="1">
        <v>44984</v>
      </c>
      <c r="E790" t="s">
        <v>122</v>
      </c>
      <c r="F790">
        <v>27</v>
      </c>
      <c r="G790" t="s">
        <v>172</v>
      </c>
    </row>
    <row r="791" spans="1:7" x14ac:dyDescent="0.25">
      <c r="A791" s="1">
        <v>44986</v>
      </c>
      <c r="B791">
        <v>2023</v>
      </c>
      <c r="C791" s="1">
        <v>44983</v>
      </c>
      <c r="D791" s="1">
        <v>44984</v>
      </c>
      <c r="E791" t="s">
        <v>122</v>
      </c>
      <c r="F791">
        <v>27</v>
      </c>
      <c r="G791" t="s">
        <v>173</v>
      </c>
    </row>
    <row r="792" spans="1:7" x14ac:dyDescent="0.25">
      <c r="A792" s="1">
        <v>44987</v>
      </c>
      <c r="B792">
        <v>2023</v>
      </c>
      <c r="C792" s="1">
        <v>44983</v>
      </c>
      <c r="D792" s="1">
        <v>44984</v>
      </c>
      <c r="E792" t="s">
        <v>122</v>
      </c>
      <c r="F792">
        <v>27</v>
      </c>
      <c r="G792" t="s">
        <v>174</v>
      </c>
    </row>
    <row r="793" spans="1:7" x14ac:dyDescent="0.25">
      <c r="A793" s="1">
        <v>44988</v>
      </c>
      <c r="B793">
        <v>2023</v>
      </c>
      <c r="C793" s="1">
        <v>44983</v>
      </c>
      <c r="D793" s="1">
        <v>44984</v>
      </c>
      <c r="E793" t="s">
        <v>122</v>
      </c>
      <c r="F793">
        <v>27</v>
      </c>
      <c r="G793" t="s">
        <v>168</v>
      </c>
    </row>
    <row r="794" spans="1:7" x14ac:dyDescent="0.25">
      <c r="A794" s="1">
        <v>44989</v>
      </c>
      <c r="B794">
        <v>2023</v>
      </c>
      <c r="C794" s="1">
        <v>44983</v>
      </c>
      <c r="D794" s="1">
        <v>44984</v>
      </c>
      <c r="E794" t="s">
        <v>122</v>
      </c>
      <c r="F794">
        <v>27</v>
      </c>
      <c r="G794" t="s">
        <v>169</v>
      </c>
    </row>
    <row r="795" spans="1:7" x14ac:dyDescent="0.25">
      <c r="A795" s="1">
        <v>44990</v>
      </c>
      <c r="B795">
        <v>2023</v>
      </c>
      <c r="C795" s="1">
        <v>44990</v>
      </c>
      <c r="D795" s="1">
        <v>44984</v>
      </c>
      <c r="E795" t="s">
        <v>122</v>
      </c>
      <c r="F795">
        <v>27</v>
      </c>
      <c r="G795" t="s">
        <v>170</v>
      </c>
    </row>
    <row r="796" spans="1:7" x14ac:dyDescent="0.25">
      <c r="A796" s="1">
        <v>44991</v>
      </c>
      <c r="B796">
        <v>2023</v>
      </c>
      <c r="C796" s="1">
        <v>44990</v>
      </c>
      <c r="D796" s="1">
        <v>44991</v>
      </c>
      <c r="E796" t="s">
        <v>123</v>
      </c>
      <c r="F796">
        <v>28</v>
      </c>
      <c r="G796" t="s">
        <v>171</v>
      </c>
    </row>
    <row r="797" spans="1:7" x14ac:dyDescent="0.25">
      <c r="A797" s="1">
        <v>44992</v>
      </c>
      <c r="B797">
        <v>2023</v>
      </c>
      <c r="C797" s="1">
        <v>44990</v>
      </c>
      <c r="D797" s="1">
        <v>44991</v>
      </c>
      <c r="E797" t="s">
        <v>123</v>
      </c>
      <c r="F797">
        <v>28</v>
      </c>
      <c r="G797" t="s">
        <v>172</v>
      </c>
    </row>
    <row r="798" spans="1:7" x14ac:dyDescent="0.25">
      <c r="A798" s="1">
        <v>44993</v>
      </c>
      <c r="B798">
        <v>2023</v>
      </c>
      <c r="C798" s="1">
        <v>44990</v>
      </c>
      <c r="D798" s="1">
        <v>44991</v>
      </c>
      <c r="E798" t="s">
        <v>123</v>
      </c>
      <c r="F798">
        <v>28</v>
      </c>
      <c r="G798" t="s">
        <v>173</v>
      </c>
    </row>
    <row r="799" spans="1:7" x14ac:dyDescent="0.25">
      <c r="A799" s="1">
        <v>44994</v>
      </c>
      <c r="B799">
        <v>2023</v>
      </c>
      <c r="C799" s="1">
        <v>44990</v>
      </c>
      <c r="D799" s="1">
        <v>44991</v>
      </c>
      <c r="E799" t="s">
        <v>123</v>
      </c>
      <c r="F799">
        <v>28</v>
      </c>
      <c r="G799" t="s">
        <v>174</v>
      </c>
    </row>
    <row r="800" spans="1:7" x14ac:dyDescent="0.25">
      <c r="A800" s="1">
        <v>44995</v>
      </c>
      <c r="B800">
        <v>2023</v>
      </c>
      <c r="C800" s="1">
        <v>44990</v>
      </c>
      <c r="D800" s="1">
        <v>44991</v>
      </c>
      <c r="E800" t="s">
        <v>123</v>
      </c>
      <c r="F800">
        <v>28</v>
      </c>
      <c r="G800" t="s">
        <v>168</v>
      </c>
    </row>
    <row r="801" spans="1:7" x14ac:dyDescent="0.25">
      <c r="A801" s="1">
        <v>44996</v>
      </c>
      <c r="B801">
        <v>2023</v>
      </c>
      <c r="C801" s="1">
        <v>44990</v>
      </c>
      <c r="D801" s="1">
        <v>44991</v>
      </c>
      <c r="E801" t="s">
        <v>123</v>
      </c>
      <c r="F801">
        <v>28</v>
      </c>
      <c r="G801" t="s">
        <v>169</v>
      </c>
    </row>
    <row r="802" spans="1:7" x14ac:dyDescent="0.25">
      <c r="A802" s="1">
        <v>44997</v>
      </c>
      <c r="B802">
        <v>2023</v>
      </c>
      <c r="C802" s="1">
        <v>44997</v>
      </c>
      <c r="D802" s="1">
        <v>44991</v>
      </c>
      <c r="E802" t="s">
        <v>123</v>
      </c>
      <c r="F802">
        <v>28</v>
      </c>
      <c r="G802" t="s">
        <v>170</v>
      </c>
    </row>
    <row r="803" spans="1:7" x14ac:dyDescent="0.25">
      <c r="A803" s="1">
        <v>44998</v>
      </c>
      <c r="B803">
        <v>2023</v>
      </c>
      <c r="C803" s="1">
        <v>44997</v>
      </c>
      <c r="D803" s="1">
        <v>44998</v>
      </c>
      <c r="E803" t="s">
        <v>124</v>
      </c>
      <c r="F803">
        <v>29</v>
      </c>
      <c r="G803" t="s">
        <v>171</v>
      </c>
    </row>
    <row r="804" spans="1:7" x14ac:dyDescent="0.25">
      <c r="A804" s="1">
        <v>44999</v>
      </c>
      <c r="B804">
        <v>2023</v>
      </c>
      <c r="C804" s="1">
        <v>44997</v>
      </c>
      <c r="D804" s="1">
        <v>44998</v>
      </c>
      <c r="E804" t="s">
        <v>124</v>
      </c>
      <c r="F804">
        <v>29</v>
      </c>
      <c r="G804" t="s">
        <v>172</v>
      </c>
    </row>
    <row r="805" spans="1:7" x14ac:dyDescent="0.25">
      <c r="A805" s="1">
        <v>45000</v>
      </c>
      <c r="B805">
        <v>2023</v>
      </c>
      <c r="C805" s="1">
        <v>44997</v>
      </c>
      <c r="D805" s="1">
        <v>44998</v>
      </c>
      <c r="E805" t="s">
        <v>124</v>
      </c>
      <c r="F805">
        <v>29</v>
      </c>
      <c r="G805" t="s">
        <v>173</v>
      </c>
    </row>
    <row r="806" spans="1:7" x14ac:dyDescent="0.25">
      <c r="A806" s="1">
        <v>45001</v>
      </c>
      <c r="B806">
        <v>2023</v>
      </c>
      <c r="C806" s="1">
        <v>44997</v>
      </c>
      <c r="D806" s="1">
        <v>44998</v>
      </c>
      <c r="E806" t="s">
        <v>124</v>
      </c>
      <c r="F806">
        <v>29</v>
      </c>
      <c r="G806" t="s">
        <v>174</v>
      </c>
    </row>
    <row r="807" spans="1:7" x14ac:dyDescent="0.25">
      <c r="A807" s="1">
        <v>45002</v>
      </c>
      <c r="B807">
        <v>2023</v>
      </c>
      <c r="C807" s="1">
        <v>44997</v>
      </c>
      <c r="D807" s="1">
        <v>44998</v>
      </c>
      <c r="E807" t="s">
        <v>124</v>
      </c>
      <c r="F807">
        <v>29</v>
      </c>
      <c r="G807" t="s">
        <v>168</v>
      </c>
    </row>
    <row r="808" spans="1:7" x14ac:dyDescent="0.25">
      <c r="A808" s="1">
        <v>45003</v>
      </c>
      <c r="B808">
        <v>2023</v>
      </c>
      <c r="C808" s="1">
        <v>44997</v>
      </c>
      <c r="D808" s="1">
        <v>44998</v>
      </c>
      <c r="E808" t="s">
        <v>124</v>
      </c>
      <c r="F808">
        <v>29</v>
      </c>
      <c r="G808" t="s">
        <v>169</v>
      </c>
    </row>
    <row r="809" spans="1:7" x14ac:dyDescent="0.25">
      <c r="A809" s="1">
        <v>45004</v>
      </c>
      <c r="B809">
        <v>2023</v>
      </c>
      <c r="C809" s="1">
        <v>45004</v>
      </c>
      <c r="D809" s="1">
        <v>44998</v>
      </c>
      <c r="E809" t="s">
        <v>124</v>
      </c>
      <c r="F809">
        <v>29</v>
      </c>
      <c r="G809" t="s">
        <v>170</v>
      </c>
    </row>
    <row r="810" spans="1:7" x14ac:dyDescent="0.25">
      <c r="A810" s="1">
        <v>45005</v>
      </c>
      <c r="B810">
        <v>2023</v>
      </c>
      <c r="C810" s="1">
        <v>45004</v>
      </c>
      <c r="D810" s="1">
        <v>45005</v>
      </c>
      <c r="E810" t="s">
        <v>125</v>
      </c>
      <c r="F810">
        <v>30</v>
      </c>
      <c r="G810" t="s">
        <v>171</v>
      </c>
    </row>
    <row r="811" spans="1:7" x14ac:dyDescent="0.25">
      <c r="A811" s="1">
        <v>45006</v>
      </c>
      <c r="B811">
        <v>2023</v>
      </c>
      <c r="C811" s="1">
        <v>45004</v>
      </c>
      <c r="D811" s="1">
        <v>45005</v>
      </c>
      <c r="E811" t="s">
        <v>125</v>
      </c>
      <c r="F811">
        <v>30</v>
      </c>
      <c r="G811" t="s">
        <v>172</v>
      </c>
    </row>
    <row r="812" spans="1:7" x14ac:dyDescent="0.25">
      <c r="A812" s="1">
        <v>45007</v>
      </c>
      <c r="B812">
        <v>2023</v>
      </c>
      <c r="C812" s="1">
        <v>45004</v>
      </c>
      <c r="D812" s="1">
        <v>45005</v>
      </c>
      <c r="E812" t="s">
        <v>125</v>
      </c>
      <c r="F812">
        <v>30</v>
      </c>
      <c r="G812" t="s">
        <v>173</v>
      </c>
    </row>
    <row r="813" spans="1:7" x14ac:dyDescent="0.25">
      <c r="A813" s="1">
        <v>45008</v>
      </c>
      <c r="B813">
        <v>2023</v>
      </c>
      <c r="C813" s="1">
        <v>45004</v>
      </c>
      <c r="D813" s="1">
        <v>45005</v>
      </c>
      <c r="E813" t="s">
        <v>125</v>
      </c>
      <c r="F813">
        <v>30</v>
      </c>
      <c r="G813" t="s">
        <v>174</v>
      </c>
    </row>
    <row r="814" spans="1:7" x14ac:dyDescent="0.25">
      <c r="A814" s="1">
        <v>45009</v>
      </c>
      <c r="B814">
        <v>2023</v>
      </c>
      <c r="C814" s="1">
        <v>45004</v>
      </c>
      <c r="D814" s="1">
        <v>45005</v>
      </c>
      <c r="E814" t="s">
        <v>125</v>
      </c>
      <c r="F814">
        <v>30</v>
      </c>
      <c r="G814" t="s">
        <v>168</v>
      </c>
    </row>
    <row r="815" spans="1:7" x14ac:dyDescent="0.25">
      <c r="A815" s="1">
        <v>45010</v>
      </c>
      <c r="B815">
        <v>2023</v>
      </c>
      <c r="C815" s="1">
        <v>45004</v>
      </c>
      <c r="D815" s="1">
        <v>45005</v>
      </c>
      <c r="E815" t="s">
        <v>125</v>
      </c>
      <c r="F815">
        <v>30</v>
      </c>
      <c r="G815" t="s">
        <v>169</v>
      </c>
    </row>
    <row r="816" spans="1:7" x14ac:dyDescent="0.25">
      <c r="A816" s="1">
        <v>45011</v>
      </c>
      <c r="B816">
        <v>2023</v>
      </c>
      <c r="C816" s="1">
        <v>45011</v>
      </c>
      <c r="D816" s="1">
        <v>45005</v>
      </c>
      <c r="E816" t="s">
        <v>125</v>
      </c>
      <c r="F816">
        <v>30</v>
      </c>
      <c r="G816" t="s">
        <v>170</v>
      </c>
    </row>
    <row r="817" spans="1:7" x14ac:dyDescent="0.25">
      <c r="A817" s="1">
        <v>45012</v>
      </c>
      <c r="B817">
        <v>2023</v>
      </c>
      <c r="C817" s="1">
        <v>45011</v>
      </c>
      <c r="D817" s="1">
        <v>45012</v>
      </c>
      <c r="E817" t="s">
        <v>126</v>
      </c>
      <c r="F817">
        <v>31</v>
      </c>
      <c r="G817" t="s">
        <v>171</v>
      </c>
    </row>
    <row r="818" spans="1:7" x14ac:dyDescent="0.25">
      <c r="A818" s="1">
        <v>45013</v>
      </c>
      <c r="B818">
        <v>2023</v>
      </c>
      <c r="C818" s="1">
        <v>45011</v>
      </c>
      <c r="D818" s="1">
        <v>45012</v>
      </c>
      <c r="E818" t="s">
        <v>126</v>
      </c>
      <c r="F818">
        <v>31</v>
      </c>
      <c r="G818" t="s">
        <v>172</v>
      </c>
    </row>
    <row r="819" spans="1:7" x14ac:dyDescent="0.25">
      <c r="A819" s="1">
        <v>45014</v>
      </c>
      <c r="B819">
        <v>2023</v>
      </c>
      <c r="C819" s="1">
        <v>45011</v>
      </c>
      <c r="D819" s="1">
        <v>45012</v>
      </c>
      <c r="E819" t="s">
        <v>126</v>
      </c>
      <c r="F819">
        <v>31</v>
      </c>
      <c r="G819" t="s">
        <v>173</v>
      </c>
    </row>
    <row r="820" spans="1:7" x14ac:dyDescent="0.25">
      <c r="A820" s="1">
        <v>45015</v>
      </c>
      <c r="B820">
        <v>2023</v>
      </c>
      <c r="C820" s="1">
        <v>45011</v>
      </c>
      <c r="D820" s="1">
        <v>45012</v>
      </c>
      <c r="E820" t="s">
        <v>126</v>
      </c>
      <c r="F820">
        <v>31</v>
      </c>
      <c r="G820" t="s">
        <v>174</v>
      </c>
    </row>
    <row r="821" spans="1:7" x14ac:dyDescent="0.25">
      <c r="A821" s="1">
        <v>45016</v>
      </c>
      <c r="B821">
        <v>2023</v>
      </c>
      <c r="C821" s="1">
        <v>45011</v>
      </c>
      <c r="D821" s="1">
        <v>45012</v>
      </c>
      <c r="E821" t="s">
        <v>126</v>
      </c>
      <c r="F821">
        <v>31</v>
      </c>
      <c r="G821" t="s">
        <v>168</v>
      </c>
    </row>
    <row r="822" spans="1:7" x14ac:dyDescent="0.25">
      <c r="A822" s="1">
        <v>45017</v>
      </c>
      <c r="B822">
        <v>2023</v>
      </c>
      <c r="C822" s="1">
        <v>45011</v>
      </c>
      <c r="D822" s="1">
        <v>45012</v>
      </c>
      <c r="E822" t="s">
        <v>126</v>
      </c>
      <c r="F822">
        <v>31</v>
      </c>
      <c r="G822" t="s">
        <v>169</v>
      </c>
    </row>
    <row r="823" spans="1:7" x14ac:dyDescent="0.25">
      <c r="A823" s="1">
        <v>45018</v>
      </c>
      <c r="B823">
        <v>2023</v>
      </c>
      <c r="C823" s="1">
        <v>45018</v>
      </c>
      <c r="D823" s="1">
        <v>45012</v>
      </c>
      <c r="E823" t="s">
        <v>126</v>
      </c>
      <c r="F823">
        <v>31</v>
      </c>
      <c r="G823" t="s">
        <v>170</v>
      </c>
    </row>
    <row r="824" spans="1:7" x14ac:dyDescent="0.25">
      <c r="A824" s="1">
        <v>45019</v>
      </c>
      <c r="B824">
        <v>2023</v>
      </c>
      <c r="C824" s="1">
        <v>45018</v>
      </c>
      <c r="D824" s="1">
        <v>45019</v>
      </c>
      <c r="E824" t="s">
        <v>127</v>
      </c>
      <c r="F824">
        <v>32</v>
      </c>
      <c r="G824" t="s">
        <v>171</v>
      </c>
    </row>
    <row r="825" spans="1:7" x14ac:dyDescent="0.25">
      <c r="A825" s="1">
        <v>45020</v>
      </c>
      <c r="B825">
        <v>2023</v>
      </c>
      <c r="C825" s="1">
        <v>45018</v>
      </c>
      <c r="D825" s="1">
        <v>45019</v>
      </c>
      <c r="E825" t="s">
        <v>127</v>
      </c>
      <c r="F825">
        <v>32</v>
      </c>
      <c r="G825" t="s">
        <v>172</v>
      </c>
    </row>
    <row r="826" spans="1:7" x14ac:dyDescent="0.25">
      <c r="A826" s="1">
        <v>45021</v>
      </c>
      <c r="B826">
        <v>2023</v>
      </c>
      <c r="C826" s="1">
        <v>45018</v>
      </c>
      <c r="D826" s="1">
        <v>45019</v>
      </c>
      <c r="E826" t="s">
        <v>127</v>
      </c>
      <c r="F826">
        <v>32</v>
      </c>
      <c r="G826" t="s">
        <v>173</v>
      </c>
    </row>
    <row r="827" spans="1:7" x14ac:dyDescent="0.25">
      <c r="A827" s="1">
        <v>45022</v>
      </c>
      <c r="B827">
        <v>2023</v>
      </c>
      <c r="C827" s="1">
        <v>45018</v>
      </c>
      <c r="D827" s="1">
        <v>45019</v>
      </c>
      <c r="E827" t="s">
        <v>127</v>
      </c>
      <c r="F827">
        <v>32</v>
      </c>
      <c r="G827" t="s">
        <v>174</v>
      </c>
    </row>
    <row r="828" spans="1:7" x14ac:dyDescent="0.25">
      <c r="A828" s="1">
        <v>45023</v>
      </c>
      <c r="B828">
        <v>2023</v>
      </c>
      <c r="C828" s="1">
        <v>45018</v>
      </c>
      <c r="D828" s="1">
        <v>45019</v>
      </c>
      <c r="E828" t="s">
        <v>127</v>
      </c>
      <c r="F828">
        <v>32</v>
      </c>
      <c r="G828" t="s">
        <v>168</v>
      </c>
    </row>
    <row r="829" spans="1:7" x14ac:dyDescent="0.25">
      <c r="A829" s="1">
        <v>45024</v>
      </c>
      <c r="B829">
        <v>2023</v>
      </c>
      <c r="C829" s="1">
        <v>45018</v>
      </c>
      <c r="D829" s="1">
        <v>45019</v>
      </c>
      <c r="E829" t="s">
        <v>127</v>
      </c>
      <c r="F829">
        <v>32</v>
      </c>
      <c r="G829" t="s">
        <v>169</v>
      </c>
    </row>
    <row r="830" spans="1:7" x14ac:dyDescent="0.25">
      <c r="A830" s="1">
        <v>45025</v>
      </c>
      <c r="B830">
        <v>2023</v>
      </c>
      <c r="C830" s="1">
        <v>45025</v>
      </c>
      <c r="D830" s="1">
        <v>45019</v>
      </c>
      <c r="E830" t="s">
        <v>127</v>
      </c>
      <c r="F830">
        <v>32</v>
      </c>
      <c r="G830" t="s">
        <v>170</v>
      </c>
    </row>
    <row r="831" spans="1:7" x14ac:dyDescent="0.25">
      <c r="A831" s="1">
        <v>45026</v>
      </c>
      <c r="B831">
        <v>2023</v>
      </c>
      <c r="C831" s="1">
        <v>45025</v>
      </c>
      <c r="D831" s="1">
        <v>45026</v>
      </c>
      <c r="E831" t="s">
        <v>128</v>
      </c>
      <c r="F831">
        <v>33</v>
      </c>
      <c r="G831" t="s">
        <v>171</v>
      </c>
    </row>
    <row r="832" spans="1:7" x14ac:dyDescent="0.25">
      <c r="A832" s="1">
        <v>45027</v>
      </c>
      <c r="B832">
        <v>2023</v>
      </c>
      <c r="C832" s="1">
        <v>45025</v>
      </c>
      <c r="D832" s="1">
        <v>45026</v>
      </c>
      <c r="E832" t="s">
        <v>128</v>
      </c>
      <c r="F832">
        <v>33</v>
      </c>
      <c r="G832" t="s">
        <v>172</v>
      </c>
    </row>
    <row r="833" spans="1:7" x14ac:dyDescent="0.25">
      <c r="A833" s="1">
        <v>45028</v>
      </c>
      <c r="B833">
        <v>2023</v>
      </c>
      <c r="C833" s="1">
        <v>45025</v>
      </c>
      <c r="D833" s="1">
        <v>45026</v>
      </c>
      <c r="E833" t="s">
        <v>128</v>
      </c>
      <c r="F833">
        <v>33</v>
      </c>
      <c r="G833" t="s">
        <v>173</v>
      </c>
    </row>
    <row r="834" spans="1:7" x14ac:dyDescent="0.25">
      <c r="A834" s="1">
        <v>45029</v>
      </c>
      <c r="B834">
        <v>2023</v>
      </c>
      <c r="C834" s="1">
        <v>45025</v>
      </c>
      <c r="D834" s="1">
        <v>45026</v>
      </c>
      <c r="E834" t="s">
        <v>128</v>
      </c>
      <c r="F834">
        <v>33</v>
      </c>
      <c r="G834" t="s">
        <v>174</v>
      </c>
    </row>
    <row r="835" spans="1:7" x14ac:dyDescent="0.25">
      <c r="A835" s="1">
        <v>45030</v>
      </c>
      <c r="B835">
        <v>2023</v>
      </c>
      <c r="C835" s="1">
        <v>45025</v>
      </c>
      <c r="D835" s="1">
        <v>45026</v>
      </c>
      <c r="E835" t="s">
        <v>128</v>
      </c>
      <c r="F835">
        <v>33</v>
      </c>
      <c r="G835" t="s">
        <v>168</v>
      </c>
    </row>
    <row r="836" spans="1:7" x14ac:dyDescent="0.25">
      <c r="A836" s="1">
        <v>45031</v>
      </c>
      <c r="B836">
        <v>2023</v>
      </c>
      <c r="C836" s="1">
        <v>45025</v>
      </c>
      <c r="D836" s="1">
        <v>45026</v>
      </c>
      <c r="E836" t="s">
        <v>128</v>
      </c>
      <c r="F836">
        <v>33</v>
      </c>
      <c r="G836" t="s">
        <v>169</v>
      </c>
    </row>
    <row r="837" spans="1:7" x14ac:dyDescent="0.25">
      <c r="A837" s="1">
        <v>45032</v>
      </c>
      <c r="B837">
        <v>2023</v>
      </c>
      <c r="C837" s="1">
        <v>45032</v>
      </c>
      <c r="D837" s="1">
        <v>45026</v>
      </c>
      <c r="E837" t="s">
        <v>128</v>
      </c>
      <c r="F837">
        <v>33</v>
      </c>
      <c r="G837" t="s">
        <v>170</v>
      </c>
    </row>
    <row r="838" spans="1:7" x14ac:dyDescent="0.25">
      <c r="A838" s="1">
        <v>45033</v>
      </c>
      <c r="B838">
        <v>2023</v>
      </c>
      <c r="C838" s="1">
        <v>45032</v>
      </c>
      <c r="D838" s="1">
        <v>45033</v>
      </c>
      <c r="E838" t="s">
        <v>129</v>
      </c>
      <c r="F838">
        <v>34</v>
      </c>
      <c r="G838" t="s">
        <v>171</v>
      </c>
    </row>
    <row r="839" spans="1:7" x14ac:dyDescent="0.25">
      <c r="A839" s="1">
        <v>45034</v>
      </c>
      <c r="B839">
        <v>2023</v>
      </c>
      <c r="C839" s="1">
        <v>45032</v>
      </c>
      <c r="D839" s="1">
        <v>45033</v>
      </c>
      <c r="E839" t="s">
        <v>129</v>
      </c>
      <c r="F839">
        <v>34</v>
      </c>
      <c r="G839" t="s">
        <v>172</v>
      </c>
    </row>
    <row r="840" spans="1:7" x14ac:dyDescent="0.25">
      <c r="A840" s="1">
        <v>45035</v>
      </c>
      <c r="B840">
        <v>2023</v>
      </c>
      <c r="C840" s="1">
        <v>45032</v>
      </c>
      <c r="D840" s="1">
        <v>45033</v>
      </c>
      <c r="E840" t="s">
        <v>129</v>
      </c>
      <c r="F840">
        <v>34</v>
      </c>
      <c r="G840" t="s">
        <v>173</v>
      </c>
    </row>
    <row r="841" spans="1:7" x14ac:dyDescent="0.25">
      <c r="A841" s="1">
        <v>45036</v>
      </c>
      <c r="B841">
        <v>2023</v>
      </c>
      <c r="C841" s="1">
        <v>45032</v>
      </c>
      <c r="D841" s="1">
        <v>45033</v>
      </c>
      <c r="E841" t="s">
        <v>129</v>
      </c>
      <c r="F841">
        <v>34</v>
      </c>
      <c r="G841" t="s">
        <v>174</v>
      </c>
    </row>
    <row r="842" spans="1:7" x14ac:dyDescent="0.25">
      <c r="A842" s="1">
        <v>45037</v>
      </c>
      <c r="B842">
        <v>2023</v>
      </c>
      <c r="C842" s="1">
        <v>45032</v>
      </c>
      <c r="D842" s="1">
        <v>45033</v>
      </c>
      <c r="E842" t="s">
        <v>129</v>
      </c>
      <c r="F842">
        <v>34</v>
      </c>
      <c r="G842" t="s">
        <v>168</v>
      </c>
    </row>
    <row r="843" spans="1:7" x14ac:dyDescent="0.25">
      <c r="A843" s="1">
        <v>45038</v>
      </c>
      <c r="B843">
        <v>2023</v>
      </c>
      <c r="C843" s="1">
        <v>45032</v>
      </c>
      <c r="D843" s="1">
        <v>45033</v>
      </c>
      <c r="E843" t="s">
        <v>129</v>
      </c>
      <c r="F843">
        <v>34</v>
      </c>
      <c r="G843" t="s">
        <v>169</v>
      </c>
    </row>
    <row r="844" spans="1:7" x14ac:dyDescent="0.25">
      <c r="A844" s="1">
        <v>45039</v>
      </c>
      <c r="B844">
        <v>2023</v>
      </c>
      <c r="C844" s="1">
        <v>45039</v>
      </c>
      <c r="D844" s="1">
        <v>45033</v>
      </c>
      <c r="E844" t="s">
        <v>129</v>
      </c>
      <c r="F844">
        <v>34</v>
      </c>
      <c r="G844" t="s">
        <v>170</v>
      </c>
    </row>
    <row r="845" spans="1:7" x14ac:dyDescent="0.25">
      <c r="A845" s="1">
        <v>45040</v>
      </c>
      <c r="B845">
        <v>2023</v>
      </c>
      <c r="C845" s="1">
        <v>45039</v>
      </c>
      <c r="D845" s="1">
        <v>45040</v>
      </c>
      <c r="E845" t="s">
        <v>130</v>
      </c>
      <c r="F845">
        <v>35</v>
      </c>
      <c r="G845" t="s">
        <v>171</v>
      </c>
    </row>
    <row r="846" spans="1:7" x14ac:dyDescent="0.25">
      <c r="A846" s="1">
        <v>45041</v>
      </c>
      <c r="B846">
        <v>2023</v>
      </c>
      <c r="C846" s="1">
        <v>45039</v>
      </c>
      <c r="D846" s="1">
        <v>45040</v>
      </c>
      <c r="E846" t="s">
        <v>130</v>
      </c>
      <c r="F846">
        <v>35</v>
      </c>
      <c r="G846" t="s">
        <v>172</v>
      </c>
    </row>
    <row r="847" spans="1:7" x14ac:dyDescent="0.25">
      <c r="A847" s="1">
        <v>45042</v>
      </c>
      <c r="B847">
        <v>2023</v>
      </c>
      <c r="C847" s="1">
        <v>45039</v>
      </c>
      <c r="D847" s="1">
        <v>45040</v>
      </c>
      <c r="E847" t="s">
        <v>130</v>
      </c>
      <c r="F847">
        <v>35</v>
      </c>
      <c r="G847" t="s">
        <v>173</v>
      </c>
    </row>
    <row r="848" spans="1:7" x14ac:dyDescent="0.25">
      <c r="A848" s="1">
        <v>45043</v>
      </c>
      <c r="B848">
        <v>2023</v>
      </c>
      <c r="C848" s="1">
        <v>45039</v>
      </c>
      <c r="D848" s="1">
        <v>45040</v>
      </c>
      <c r="E848" t="s">
        <v>130</v>
      </c>
      <c r="F848">
        <v>35</v>
      </c>
      <c r="G848" t="s">
        <v>174</v>
      </c>
    </row>
    <row r="849" spans="1:7" x14ac:dyDescent="0.25">
      <c r="A849" s="1">
        <v>45044</v>
      </c>
      <c r="B849">
        <v>2023</v>
      </c>
      <c r="C849" s="1">
        <v>45039</v>
      </c>
      <c r="D849" s="1">
        <v>45040</v>
      </c>
      <c r="E849" t="s">
        <v>130</v>
      </c>
      <c r="F849">
        <v>35</v>
      </c>
      <c r="G849" t="s">
        <v>168</v>
      </c>
    </row>
    <row r="850" spans="1:7" x14ac:dyDescent="0.25">
      <c r="A850" s="1">
        <v>45045</v>
      </c>
      <c r="B850">
        <v>2023</v>
      </c>
      <c r="C850" s="1">
        <v>45039</v>
      </c>
      <c r="D850" s="1">
        <v>45040</v>
      </c>
      <c r="E850" t="s">
        <v>130</v>
      </c>
      <c r="F850">
        <v>35</v>
      </c>
      <c r="G850" t="s">
        <v>169</v>
      </c>
    </row>
    <row r="851" spans="1:7" x14ac:dyDescent="0.25">
      <c r="A851" s="1">
        <v>45046</v>
      </c>
      <c r="B851">
        <v>2023</v>
      </c>
      <c r="C851" s="1">
        <v>45046</v>
      </c>
      <c r="D851" s="1">
        <v>45040</v>
      </c>
      <c r="E851" t="s">
        <v>130</v>
      </c>
      <c r="F851">
        <v>35</v>
      </c>
      <c r="G851" t="s">
        <v>170</v>
      </c>
    </row>
    <row r="852" spans="1:7" x14ac:dyDescent="0.25">
      <c r="A852" s="1">
        <v>45047</v>
      </c>
      <c r="B852">
        <v>2023</v>
      </c>
      <c r="C852" s="1">
        <v>45046</v>
      </c>
      <c r="D852" s="1">
        <v>45047</v>
      </c>
      <c r="E852" t="s">
        <v>131</v>
      </c>
      <c r="F852">
        <v>36</v>
      </c>
      <c r="G852" t="s">
        <v>171</v>
      </c>
    </row>
    <row r="853" spans="1:7" x14ac:dyDescent="0.25">
      <c r="A853" s="1">
        <v>45048</v>
      </c>
      <c r="B853">
        <v>2023</v>
      </c>
      <c r="C853" s="1">
        <v>45046</v>
      </c>
      <c r="D853" s="1">
        <v>45047</v>
      </c>
      <c r="E853" t="s">
        <v>131</v>
      </c>
      <c r="F853">
        <v>36</v>
      </c>
      <c r="G853" t="s">
        <v>172</v>
      </c>
    </row>
    <row r="854" spans="1:7" x14ac:dyDescent="0.25">
      <c r="A854" s="1">
        <v>45049</v>
      </c>
      <c r="B854">
        <v>2023</v>
      </c>
      <c r="C854" s="1">
        <v>45046</v>
      </c>
      <c r="D854" s="1">
        <v>45047</v>
      </c>
      <c r="E854" t="s">
        <v>131</v>
      </c>
      <c r="F854">
        <v>36</v>
      </c>
      <c r="G854" t="s">
        <v>173</v>
      </c>
    </row>
    <row r="855" spans="1:7" x14ac:dyDescent="0.25">
      <c r="A855" s="1">
        <v>45050</v>
      </c>
      <c r="B855">
        <v>2023</v>
      </c>
      <c r="C855" s="1">
        <v>45046</v>
      </c>
      <c r="D855" s="1">
        <v>45047</v>
      </c>
      <c r="E855" t="s">
        <v>131</v>
      </c>
      <c r="F855">
        <v>36</v>
      </c>
      <c r="G855" t="s">
        <v>174</v>
      </c>
    </row>
    <row r="856" spans="1:7" x14ac:dyDescent="0.25">
      <c r="A856" s="1">
        <v>45051</v>
      </c>
      <c r="B856">
        <v>2023</v>
      </c>
      <c r="C856" s="1">
        <v>45046</v>
      </c>
      <c r="D856" s="1">
        <v>45047</v>
      </c>
      <c r="E856" t="s">
        <v>131</v>
      </c>
      <c r="F856">
        <v>36</v>
      </c>
      <c r="G856" t="s">
        <v>168</v>
      </c>
    </row>
    <row r="857" spans="1:7" x14ac:dyDescent="0.25">
      <c r="A857" s="1">
        <v>45052</v>
      </c>
      <c r="B857">
        <v>2023</v>
      </c>
      <c r="C857" s="1">
        <v>45046</v>
      </c>
      <c r="D857" s="1">
        <v>45047</v>
      </c>
      <c r="E857" t="s">
        <v>131</v>
      </c>
      <c r="F857">
        <v>36</v>
      </c>
      <c r="G857" t="s">
        <v>169</v>
      </c>
    </row>
    <row r="858" spans="1:7" x14ac:dyDescent="0.25">
      <c r="A858" s="1">
        <v>45053</v>
      </c>
      <c r="B858">
        <v>2023</v>
      </c>
      <c r="C858" s="1">
        <v>45053</v>
      </c>
      <c r="D858" s="1">
        <v>45047</v>
      </c>
      <c r="E858" t="s">
        <v>131</v>
      </c>
      <c r="F858">
        <v>36</v>
      </c>
      <c r="G858" t="s">
        <v>170</v>
      </c>
    </row>
    <row r="859" spans="1:7" x14ac:dyDescent="0.25">
      <c r="A859" s="1">
        <v>45054</v>
      </c>
      <c r="B859">
        <v>2023</v>
      </c>
      <c r="C859" s="1">
        <v>45053</v>
      </c>
      <c r="D859" s="1">
        <v>45054</v>
      </c>
      <c r="E859" t="s">
        <v>132</v>
      </c>
      <c r="F859">
        <v>37</v>
      </c>
      <c r="G859" t="s">
        <v>171</v>
      </c>
    </row>
    <row r="860" spans="1:7" x14ac:dyDescent="0.25">
      <c r="A860" s="1">
        <v>45055</v>
      </c>
      <c r="B860">
        <v>2023</v>
      </c>
      <c r="C860" s="1">
        <v>45053</v>
      </c>
      <c r="D860" s="1">
        <v>45054</v>
      </c>
      <c r="E860" t="s">
        <v>132</v>
      </c>
      <c r="F860">
        <v>37</v>
      </c>
      <c r="G860" t="s">
        <v>172</v>
      </c>
    </row>
    <row r="861" spans="1:7" x14ac:dyDescent="0.25">
      <c r="A861" s="1">
        <v>45056</v>
      </c>
      <c r="B861">
        <v>2023</v>
      </c>
      <c r="C861" s="1">
        <v>45053</v>
      </c>
      <c r="D861" s="1">
        <v>45054</v>
      </c>
      <c r="E861" t="s">
        <v>132</v>
      </c>
      <c r="F861">
        <v>37</v>
      </c>
      <c r="G861" t="s">
        <v>173</v>
      </c>
    </row>
    <row r="862" spans="1:7" x14ac:dyDescent="0.25">
      <c r="A862" s="1">
        <v>45057</v>
      </c>
      <c r="B862">
        <v>2023</v>
      </c>
      <c r="C862" s="1">
        <v>45053</v>
      </c>
      <c r="D862" s="1">
        <v>45054</v>
      </c>
      <c r="E862" t="s">
        <v>132</v>
      </c>
      <c r="F862">
        <v>37</v>
      </c>
      <c r="G862" t="s">
        <v>174</v>
      </c>
    </row>
    <row r="863" spans="1:7" x14ac:dyDescent="0.25">
      <c r="A863" s="1">
        <v>45058</v>
      </c>
      <c r="B863">
        <v>2023</v>
      </c>
      <c r="C863" s="1">
        <v>45053</v>
      </c>
      <c r="D863" s="1">
        <v>45054</v>
      </c>
      <c r="E863" t="s">
        <v>132</v>
      </c>
      <c r="F863">
        <v>37</v>
      </c>
      <c r="G863" t="s">
        <v>168</v>
      </c>
    </row>
    <row r="864" spans="1:7" x14ac:dyDescent="0.25">
      <c r="A864" s="1">
        <v>45059</v>
      </c>
      <c r="B864">
        <v>2023</v>
      </c>
      <c r="C864" s="1">
        <v>45053</v>
      </c>
      <c r="D864" s="1">
        <v>45054</v>
      </c>
      <c r="E864" t="s">
        <v>132</v>
      </c>
      <c r="F864">
        <v>37</v>
      </c>
      <c r="G864" t="s">
        <v>169</v>
      </c>
    </row>
    <row r="865" spans="1:7" x14ac:dyDescent="0.25">
      <c r="A865" s="1">
        <v>45060</v>
      </c>
      <c r="B865">
        <v>2023</v>
      </c>
      <c r="C865" s="1">
        <v>45060</v>
      </c>
      <c r="D865" s="1">
        <v>45054</v>
      </c>
      <c r="E865" t="s">
        <v>132</v>
      </c>
      <c r="F865">
        <v>37</v>
      </c>
      <c r="G865" t="s">
        <v>170</v>
      </c>
    </row>
    <row r="866" spans="1:7" x14ac:dyDescent="0.25">
      <c r="A866" s="1">
        <v>45061</v>
      </c>
      <c r="B866">
        <v>2023</v>
      </c>
      <c r="C866" s="1">
        <v>45060</v>
      </c>
      <c r="D866" s="1">
        <v>45061</v>
      </c>
      <c r="E866" t="s">
        <v>133</v>
      </c>
      <c r="F866">
        <v>38</v>
      </c>
      <c r="G866" t="s">
        <v>171</v>
      </c>
    </row>
    <row r="867" spans="1:7" x14ac:dyDescent="0.25">
      <c r="A867" s="1">
        <v>45062</v>
      </c>
      <c r="B867">
        <v>2023</v>
      </c>
      <c r="C867" s="1">
        <v>45060</v>
      </c>
      <c r="D867" s="1">
        <v>45061</v>
      </c>
      <c r="E867" t="s">
        <v>133</v>
      </c>
      <c r="F867">
        <v>38</v>
      </c>
      <c r="G867" t="s">
        <v>172</v>
      </c>
    </row>
    <row r="868" spans="1:7" x14ac:dyDescent="0.25">
      <c r="A868" s="1">
        <v>45063</v>
      </c>
      <c r="B868">
        <v>2023</v>
      </c>
      <c r="C868" s="1">
        <v>45060</v>
      </c>
      <c r="D868" s="1">
        <v>45061</v>
      </c>
      <c r="E868" t="s">
        <v>133</v>
      </c>
      <c r="F868">
        <v>38</v>
      </c>
      <c r="G868" t="s">
        <v>173</v>
      </c>
    </row>
    <row r="869" spans="1:7" x14ac:dyDescent="0.25">
      <c r="A869" s="1">
        <v>45064</v>
      </c>
      <c r="B869">
        <v>2023</v>
      </c>
      <c r="C869" s="1">
        <v>45060</v>
      </c>
      <c r="D869" s="1">
        <v>45061</v>
      </c>
      <c r="E869" t="s">
        <v>133</v>
      </c>
      <c r="F869">
        <v>38</v>
      </c>
      <c r="G869" t="s">
        <v>174</v>
      </c>
    </row>
    <row r="870" spans="1:7" x14ac:dyDescent="0.25">
      <c r="A870" s="1">
        <v>45065</v>
      </c>
      <c r="B870">
        <v>2023</v>
      </c>
      <c r="C870" s="1">
        <v>45060</v>
      </c>
      <c r="D870" s="1">
        <v>45061</v>
      </c>
      <c r="E870" t="s">
        <v>133</v>
      </c>
      <c r="F870">
        <v>38</v>
      </c>
      <c r="G870" t="s">
        <v>168</v>
      </c>
    </row>
    <row r="871" spans="1:7" x14ac:dyDescent="0.25">
      <c r="A871" s="1">
        <v>45066</v>
      </c>
      <c r="B871">
        <v>2023</v>
      </c>
      <c r="C871" s="1">
        <v>45060</v>
      </c>
      <c r="D871" s="1">
        <v>45061</v>
      </c>
      <c r="E871" t="s">
        <v>133</v>
      </c>
      <c r="F871">
        <v>38</v>
      </c>
      <c r="G871" t="s">
        <v>169</v>
      </c>
    </row>
    <row r="872" spans="1:7" x14ac:dyDescent="0.25">
      <c r="A872" s="1">
        <v>45067</v>
      </c>
      <c r="B872">
        <v>2023</v>
      </c>
      <c r="C872" s="1">
        <v>45067</v>
      </c>
      <c r="D872" s="1">
        <v>45061</v>
      </c>
      <c r="E872" t="s">
        <v>133</v>
      </c>
      <c r="F872">
        <v>38</v>
      </c>
      <c r="G872" t="s">
        <v>170</v>
      </c>
    </row>
    <row r="873" spans="1:7" x14ac:dyDescent="0.25">
      <c r="A873" s="1">
        <v>45068</v>
      </c>
      <c r="B873">
        <v>2023</v>
      </c>
      <c r="C873" s="1">
        <v>45067</v>
      </c>
      <c r="D873" s="1">
        <v>45068</v>
      </c>
      <c r="E873" t="s">
        <v>134</v>
      </c>
      <c r="F873">
        <v>39</v>
      </c>
      <c r="G873" t="s">
        <v>171</v>
      </c>
    </row>
    <row r="874" spans="1:7" x14ac:dyDescent="0.25">
      <c r="A874" s="1">
        <v>45069</v>
      </c>
      <c r="B874">
        <v>2023</v>
      </c>
      <c r="C874" s="1">
        <v>45067</v>
      </c>
      <c r="D874" s="1">
        <v>45068</v>
      </c>
      <c r="E874" t="s">
        <v>134</v>
      </c>
      <c r="F874">
        <v>39</v>
      </c>
      <c r="G874" t="s">
        <v>172</v>
      </c>
    </row>
    <row r="875" spans="1:7" x14ac:dyDescent="0.25">
      <c r="A875" s="1">
        <v>45070</v>
      </c>
      <c r="B875">
        <v>2023</v>
      </c>
      <c r="C875" s="1">
        <v>45067</v>
      </c>
      <c r="D875" s="1">
        <v>45068</v>
      </c>
      <c r="E875" t="s">
        <v>134</v>
      </c>
      <c r="F875">
        <v>39</v>
      </c>
      <c r="G875" t="s">
        <v>173</v>
      </c>
    </row>
    <row r="876" spans="1:7" x14ac:dyDescent="0.25">
      <c r="A876" s="1">
        <v>45071</v>
      </c>
      <c r="B876">
        <v>2023</v>
      </c>
      <c r="C876" s="1">
        <v>45067</v>
      </c>
      <c r="D876" s="1">
        <v>45068</v>
      </c>
      <c r="E876" t="s">
        <v>134</v>
      </c>
      <c r="F876">
        <v>39</v>
      </c>
      <c r="G876" t="s">
        <v>174</v>
      </c>
    </row>
    <row r="877" spans="1:7" x14ac:dyDescent="0.25">
      <c r="A877" s="1">
        <v>45072</v>
      </c>
      <c r="B877">
        <v>2023</v>
      </c>
      <c r="C877" s="1">
        <v>45067</v>
      </c>
      <c r="D877" s="1">
        <v>45068</v>
      </c>
      <c r="E877" t="s">
        <v>134</v>
      </c>
      <c r="F877">
        <v>39</v>
      </c>
      <c r="G877" t="s">
        <v>168</v>
      </c>
    </row>
    <row r="878" spans="1:7" x14ac:dyDescent="0.25">
      <c r="A878" s="1">
        <v>45073</v>
      </c>
      <c r="B878">
        <v>2023</v>
      </c>
      <c r="C878" s="1">
        <v>45067</v>
      </c>
      <c r="D878" s="1">
        <v>45068</v>
      </c>
      <c r="E878" t="s">
        <v>134</v>
      </c>
      <c r="F878">
        <v>39</v>
      </c>
      <c r="G878" t="s">
        <v>169</v>
      </c>
    </row>
    <row r="879" spans="1:7" x14ac:dyDescent="0.25">
      <c r="A879" s="1">
        <v>45074</v>
      </c>
      <c r="B879">
        <v>2023</v>
      </c>
      <c r="C879" s="1">
        <v>45074</v>
      </c>
      <c r="D879" s="1">
        <v>45068</v>
      </c>
      <c r="E879" t="s">
        <v>134</v>
      </c>
      <c r="F879">
        <v>39</v>
      </c>
      <c r="G879" t="s">
        <v>170</v>
      </c>
    </row>
    <row r="880" spans="1:7" x14ac:dyDescent="0.25">
      <c r="A880" s="1">
        <v>45075</v>
      </c>
      <c r="B880">
        <v>2023</v>
      </c>
      <c r="C880" s="1">
        <v>45074</v>
      </c>
      <c r="D880" s="1">
        <v>45075</v>
      </c>
      <c r="E880" t="s">
        <v>135</v>
      </c>
      <c r="F880">
        <v>40</v>
      </c>
      <c r="G880" t="s">
        <v>171</v>
      </c>
    </row>
    <row r="881" spans="1:7" x14ac:dyDescent="0.25">
      <c r="A881" s="1">
        <v>45076</v>
      </c>
      <c r="B881">
        <v>2023</v>
      </c>
      <c r="C881" s="1">
        <v>45074</v>
      </c>
      <c r="D881" s="1">
        <v>45075</v>
      </c>
      <c r="E881" t="s">
        <v>135</v>
      </c>
      <c r="F881">
        <v>40</v>
      </c>
      <c r="G881" t="s">
        <v>172</v>
      </c>
    </row>
    <row r="882" spans="1:7" x14ac:dyDescent="0.25">
      <c r="A882" s="1">
        <v>45077</v>
      </c>
      <c r="B882">
        <v>2023</v>
      </c>
      <c r="C882" s="1">
        <v>45074</v>
      </c>
      <c r="D882" s="1">
        <v>45075</v>
      </c>
      <c r="E882" t="s">
        <v>135</v>
      </c>
      <c r="F882">
        <v>40</v>
      </c>
      <c r="G882" t="s">
        <v>173</v>
      </c>
    </row>
    <row r="883" spans="1:7" x14ac:dyDescent="0.25">
      <c r="A883" s="1">
        <v>45078</v>
      </c>
      <c r="B883">
        <v>2023</v>
      </c>
      <c r="C883" s="1">
        <v>45074</v>
      </c>
      <c r="D883" s="1">
        <v>45075</v>
      </c>
      <c r="E883" t="s">
        <v>135</v>
      </c>
      <c r="F883">
        <v>40</v>
      </c>
      <c r="G883" t="s">
        <v>174</v>
      </c>
    </row>
    <row r="884" spans="1:7" x14ac:dyDescent="0.25">
      <c r="A884" s="1">
        <v>45079</v>
      </c>
      <c r="B884">
        <v>2023</v>
      </c>
      <c r="C884" s="1">
        <v>45074</v>
      </c>
      <c r="D884" s="1">
        <v>45075</v>
      </c>
      <c r="E884" t="s">
        <v>135</v>
      </c>
      <c r="F884">
        <v>40</v>
      </c>
      <c r="G884" t="s">
        <v>168</v>
      </c>
    </row>
    <row r="885" spans="1:7" x14ac:dyDescent="0.25">
      <c r="A885" s="1">
        <v>45080</v>
      </c>
      <c r="B885">
        <v>2023</v>
      </c>
      <c r="C885" s="1">
        <v>45074</v>
      </c>
      <c r="D885" s="1">
        <v>45075</v>
      </c>
      <c r="E885" t="s">
        <v>135</v>
      </c>
      <c r="F885">
        <v>40</v>
      </c>
      <c r="G885" t="s">
        <v>169</v>
      </c>
    </row>
    <row r="886" spans="1:7" x14ac:dyDescent="0.25">
      <c r="A886" s="1">
        <v>45081</v>
      </c>
      <c r="B886">
        <v>2023</v>
      </c>
      <c r="C886" s="1">
        <v>45081</v>
      </c>
      <c r="D886" s="1">
        <v>45075</v>
      </c>
      <c r="E886" t="s">
        <v>135</v>
      </c>
      <c r="F886">
        <v>40</v>
      </c>
      <c r="G886" t="s">
        <v>170</v>
      </c>
    </row>
    <row r="887" spans="1:7" x14ac:dyDescent="0.25">
      <c r="A887" s="1">
        <v>45082</v>
      </c>
      <c r="B887">
        <v>2023</v>
      </c>
      <c r="C887" s="1">
        <v>45081</v>
      </c>
      <c r="D887" s="1">
        <v>45082</v>
      </c>
      <c r="E887" t="s">
        <v>136</v>
      </c>
      <c r="F887">
        <v>41</v>
      </c>
      <c r="G887" t="s">
        <v>171</v>
      </c>
    </row>
    <row r="888" spans="1:7" x14ac:dyDescent="0.25">
      <c r="A888" s="1">
        <v>45083</v>
      </c>
      <c r="B888">
        <v>2023</v>
      </c>
      <c r="C888" s="1">
        <v>45081</v>
      </c>
      <c r="D888" s="1">
        <v>45082</v>
      </c>
      <c r="E888" t="s">
        <v>136</v>
      </c>
      <c r="F888">
        <v>41</v>
      </c>
      <c r="G888" t="s">
        <v>172</v>
      </c>
    </row>
    <row r="889" spans="1:7" x14ac:dyDescent="0.25">
      <c r="A889" s="1">
        <v>45084</v>
      </c>
      <c r="B889">
        <v>2023</v>
      </c>
      <c r="C889" s="1">
        <v>45081</v>
      </c>
      <c r="D889" s="1">
        <v>45082</v>
      </c>
      <c r="E889" t="s">
        <v>136</v>
      </c>
      <c r="F889">
        <v>41</v>
      </c>
      <c r="G889" t="s">
        <v>173</v>
      </c>
    </row>
    <row r="890" spans="1:7" x14ac:dyDescent="0.25">
      <c r="A890" s="1">
        <v>45085</v>
      </c>
      <c r="B890">
        <v>2023</v>
      </c>
      <c r="C890" s="1">
        <v>45081</v>
      </c>
      <c r="D890" s="1">
        <v>45082</v>
      </c>
      <c r="E890" t="s">
        <v>136</v>
      </c>
      <c r="F890">
        <v>41</v>
      </c>
      <c r="G890" t="s">
        <v>174</v>
      </c>
    </row>
    <row r="891" spans="1:7" x14ac:dyDescent="0.25">
      <c r="A891" s="1">
        <v>45086</v>
      </c>
      <c r="B891">
        <v>2023</v>
      </c>
      <c r="C891" s="1">
        <v>45081</v>
      </c>
      <c r="D891" s="1">
        <v>45082</v>
      </c>
      <c r="E891" t="s">
        <v>136</v>
      </c>
      <c r="F891">
        <v>41</v>
      </c>
      <c r="G891" t="s">
        <v>168</v>
      </c>
    </row>
    <row r="892" spans="1:7" x14ac:dyDescent="0.25">
      <c r="A892" s="1">
        <v>45087</v>
      </c>
      <c r="B892">
        <v>2023</v>
      </c>
      <c r="C892" s="1">
        <v>45081</v>
      </c>
      <c r="D892" s="1">
        <v>45082</v>
      </c>
      <c r="E892" t="s">
        <v>136</v>
      </c>
      <c r="F892">
        <v>41</v>
      </c>
      <c r="G892" t="s">
        <v>169</v>
      </c>
    </row>
    <row r="893" spans="1:7" x14ac:dyDescent="0.25">
      <c r="A893" s="1">
        <v>45088</v>
      </c>
      <c r="B893">
        <v>2023</v>
      </c>
      <c r="C893" s="1">
        <v>45088</v>
      </c>
      <c r="D893" s="1">
        <v>45082</v>
      </c>
      <c r="E893" t="s">
        <v>136</v>
      </c>
      <c r="F893">
        <v>41</v>
      </c>
      <c r="G893" t="s">
        <v>170</v>
      </c>
    </row>
    <row r="894" spans="1:7" x14ac:dyDescent="0.25">
      <c r="A894" s="1">
        <v>45089</v>
      </c>
      <c r="B894">
        <v>2023</v>
      </c>
      <c r="C894" s="1">
        <v>45088</v>
      </c>
      <c r="D894" s="1">
        <v>45089</v>
      </c>
      <c r="E894" t="s">
        <v>137</v>
      </c>
      <c r="F894">
        <v>42</v>
      </c>
      <c r="G894" t="s">
        <v>171</v>
      </c>
    </row>
    <row r="895" spans="1:7" x14ac:dyDescent="0.25">
      <c r="A895" s="1">
        <v>45090</v>
      </c>
      <c r="B895">
        <v>2023</v>
      </c>
      <c r="C895" s="1">
        <v>45088</v>
      </c>
      <c r="D895" s="1">
        <v>45089</v>
      </c>
      <c r="E895" t="s">
        <v>137</v>
      </c>
      <c r="F895">
        <v>42</v>
      </c>
      <c r="G895" t="s">
        <v>172</v>
      </c>
    </row>
    <row r="896" spans="1:7" x14ac:dyDescent="0.25">
      <c r="A896" s="1">
        <v>45091</v>
      </c>
      <c r="B896">
        <v>2023</v>
      </c>
      <c r="C896" s="1">
        <v>45088</v>
      </c>
      <c r="D896" s="1">
        <v>45089</v>
      </c>
      <c r="E896" t="s">
        <v>137</v>
      </c>
      <c r="F896">
        <v>42</v>
      </c>
      <c r="G896" t="s">
        <v>173</v>
      </c>
    </row>
    <row r="897" spans="1:7" x14ac:dyDescent="0.25">
      <c r="A897" s="1">
        <v>45092</v>
      </c>
      <c r="B897">
        <v>2023</v>
      </c>
      <c r="C897" s="1">
        <v>45088</v>
      </c>
      <c r="D897" s="1">
        <v>45089</v>
      </c>
      <c r="E897" t="s">
        <v>137</v>
      </c>
      <c r="F897">
        <v>42</v>
      </c>
      <c r="G897" t="s">
        <v>174</v>
      </c>
    </row>
    <row r="898" spans="1:7" x14ac:dyDescent="0.25">
      <c r="A898" s="1">
        <v>45093</v>
      </c>
      <c r="B898">
        <v>2023</v>
      </c>
      <c r="C898" s="1">
        <v>45088</v>
      </c>
      <c r="D898" s="1">
        <v>45089</v>
      </c>
      <c r="E898" t="s">
        <v>137</v>
      </c>
      <c r="F898">
        <v>42</v>
      </c>
      <c r="G898" t="s">
        <v>168</v>
      </c>
    </row>
    <row r="899" spans="1:7" x14ac:dyDescent="0.25">
      <c r="A899" s="1">
        <v>45094</v>
      </c>
      <c r="B899">
        <v>2023</v>
      </c>
      <c r="C899" s="1">
        <v>45088</v>
      </c>
      <c r="D899" s="1">
        <v>45089</v>
      </c>
      <c r="E899" t="s">
        <v>137</v>
      </c>
      <c r="F899">
        <v>42</v>
      </c>
      <c r="G899" t="s">
        <v>169</v>
      </c>
    </row>
    <row r="900" spans="1:7" x14ac:dyDescent="0.25">
      <c r="A900" s="1">
        <v>45095</v>
      </c>
      <c r="B900">
        <v>2023</v>
      </c>
      <c r="C900" s="1">
        <v>45095</v>
      </c>
      <c r="D900" s="1">
        <v>45089</v>
      </c>
      <c r="E900" t="s">
        <v>137</v>
      </c>
      <c r="F900">
        <v>42</v>
      </c>
      <c r="G900" t="s">
        <v>170</v>
      </c>
    </row>
    <row r="901" spans="1:7" x14ac:dyDescent="0.25">
      <c r="A901" s="1">
        <v>45096</v>
      </c>
      <c r="B901">
        <v>2023</v>
      </c>
      <c r="C901" s="1">
        <v>45095</v>
      </c>
      <c r="D901" s="1">
        <v>45096</v>
      </c>
      <c r="E901" t="s">
        <v>138</v>
      </c>
      <c r="F901">
        <v>43</v>
      </c>
      <c r="G901" t="s">
        <v>171</v>
      </c>
    </row>
    <row r="902" spans="1:7" x14ac:dyDescent="0.25">
      <c r="A902" s="1">
        <v>45097</v>
      </c>
      <c r="B902">
        <v>2023</v>
      </c>
      <c r="C902" s="1">
        <v>45095</v>
      </c>
      <c r="D902" s="1">
        <v>45096</v>
      </c>
      <c r="E902" t="s">
        <v>138</v>
      </c>
      <c r="F902">
        <v>43</v>
      </c>
      <c r="G902" t="s">
        <v>172</v>
      </c>
    </row>
    <row r="903" spans="1:7" x14ac:dyDescent="0.25">
      <c r="A903" s="1">
        <v>45098</v>
      </c>
      <c r="B903">
        <v>2023</v>
      </c>
      <c r="C903" s="1">
        <v>45095</v>
      </c>
      <c r="D903" s="1">
        <v>45096</v>
      </c>
      <c r="E903" t="s">
        <v>138</v>
      </c>
      <c r="F903">
        <v>43</v>
      </c>
      <c r="G903" t="s">
        <v>173</v>
      </c>
    </row>
    <row r="904" spans="1:7" x14ac:dyDescent="0.25">
      <c r="A904" s="1">
        <v>45099</v>
      </c>
      <c r="B904">
        <v>2023</v>
      </c>
      <c r="C904" s="1">
        <v>45095</v>
      </c>
      <c r="D904" s="1">
        <v>45096</v>
      </c>
      <c r="E904" t="s">
        <v>138</v>
      </c>
      <c r="F904">
        <v>43</v>
      </c>
      <c r="G904" t="s">
        <v>174</v>
      </c>
    </row>
    <row r="905" spans="1:7" x14ac:dyDescent="0.25">
      <c r="A905" s="1">
        <v>45100</v>
      </c>
      <c r="B905">
        <v>2023</v>
      </c>
      <c r="C905" s="1">
        <v>45095</v>
      </c>
      <c r="D905" s="1">
        <v>45096</v>
      </c>
      <c r="E905" t="s">
        <v>138</v>
      </c>
      <c r="F905">
        <v>43</v>
      </c>
      <c r="G905" t="s">
        <v>168</v>
      </c>
    </row>
    <row r="906" spans="1:7" x14ac:dyDescent="0.25">
      <c r="A906" s="1">
        <v>45101</v>
      </c>
      <c r="B906">
        <v>2023</v>
      </c>
      <c r="C906" s="1">
        <v>45095</v>
      </c>
      <c r="D906" s="1">
        <v>45096</v>
      </c>
      <c r="E906" t="s">
        <v>138</v>
      </c>
      <c r="F906">
        <v>43</v>
      </c>
      <c r="G906" t="s">
        <v>169</v>
      </c>
    </row>
    <row r="907" spans="1:7" x14ac:dyDescent="0.25">
      <c r="A907" s="1">
        <v>45102</v>
      </c>
      <c r="B907">
        <v>2023</v>
      </c>
      <c r="C907" s="1">
        <v>45102</v>
      </c>
      <c r="D907" s="1">
        <v>45096</v>
      </c>
      <c r="E907" t="s">
        <v>138</v>
      </c>
      <c r="F907">
        <v>43</v>
      </c>
      <c r="G907" t="s">
        <v>170</v>
      </c>
    </row>
    <row r="908" spans="1:7" x14ac:dyDescent="0.25">
      <c r="A908" s="1">
        <v>45103</v>
      </c>
      <c r="B908">
        <v>2023</v>
      </c>
      <c r="C908" s="1">
        <v>45102</v>
      </c>
      <c r="D908" s="1">
        <v>45103</v>
      </c>
      <c r="E908" t="s">
        <v>139</v>
      </c>
      <c r="F908">
        <v>44</v>
      </c>
      <c r="G908" t="s">
        <v>171</v>
      </c>
    </row>
    <row r="909" spans="1:7" x14ac:dyDescent="0.25">
      <c r="A909" s="1">
        <v>45104</v>
      </c>
      <c r="B909">
        <v>2023</v>
      </c>
      <c r="C909" s="1">
        <v>45102</v>
      </c>
      <c r="D909" s="1">
        <v>45103</v>
      </c>
      <c r="E909" t="s">
        <v>139</v>
      </c>
      <c r="F909">
        <v>44</v>
      </c>
      <c r="G909" t="s">
        <v>172</v>
      </c>
    </row>
    <row r="910" spans="1:7" x14ac:dyDescent="0.25">
      <c r="A910" s="1">
        <v>45105</v>
      </c>
      <c r="B910">
        <v>2023</v>
      </c>
      <c r="C910" s="1">
        <v>45102</v>
      </c>
      <c r="D910" s="1">
        <v>45103</v>
      </c>
      <c r="E910" t="s">
        <v>139</v>
      </c>
      <c r="F910">
        <v>44</v>
      </c>
      <c r="G910" t="s">
        <v>173</v>
      </c>
    </row>
    <row r="911" spans="1:7" x14ac:dyDescent="0.25">
      <c r="A911" s="1">
        <v>45106</v>
      </c>
      <c r="B911">
        <v>2023</v>
      </c>
      <c r="C911" s="1">
        <v>45102</v>
      </c>
      <c r="D911" s="1">
        <v>45103</v>
      </c>
      <c r="E911" t="s">
        <v>139</v>
      </c>
      <c r="F911">
        <v>44</v>
      </c>
      <c r="G911" t="s">
        <v>174</v>
      </c>
    </row>
    <row r="912" spans="1:7" x14ac:dyDescent="0.25">
      <c r="A912" s="1">
        <v>45107</v>
      </c>
      <c r="B912">
        <v>2023</v>
      </c>
      <c r="C912" s="1">
        <v>45102</v>
      </c>
      <c r="D912" s="1">
        <v>45103</v>
      </c>
      <c r="E912" t="s">
        <v>139</v>
      </c>
      <c r="F912">
        <v>44</v>
      </c>
      <c r="G912" t="s">
        <v>168</v>
      </c>
    </row>
    <row r="913" spans="1:7" x14ac:dyDescent="0.25">
      <c r="A913" s="1">
        <v>45108</v>
      </c>
      <c r="B913">
        <v>2023</v>
      </c>
      <c r="C913" s="1">
        <v>45102</v>
      </c>
      <c r="D913" s="1">
        <v>45103</v>
      </c>
      <c r="E913" t="s">
        <v>139</v>
      </c>
      <c r="F913">
        <v>44</v>
      </c>
      <c r="G913" t="s">
        <v>169</v>
      </c>
    </row>
    <row r="914" spans="1:7" x14ac:dyDescent="0.25">
      <c r="A914" s="1">
        <v>45109</v>
      </c>
      <c r="B914">
        <v>2023</v>
      </c>
      <c r="C914" s="1">
        <v>45109</v>
      </c>
      <c r="D914" s="1">
        <v>45103</v>
      </c>
      <c r="E914" t="s">
        <v>139</v>
      </c>
      <c r="F914">
        <v>44</v>
      </c>
      <c r="G914" t="s">
        <v>170</v>
      </c>
    </row>
    <row r="915" spans="1:7" x14ac:dyDescent="0.25">
      <c r="A915" s="1">
        <v>45110</v>
      </c>
      <c r="B915">
        <v>2023</v>
      </c>
      <c r="C915" s="1">
        <v>45109</v>
      </c>
      <c r="D915" s="1">
        <v>45110</v>
      </c>
      <c r="E915" t="s">
        <v>140</v>
      </c>
      <c r="F915">
        <v>45</v>
      </c>
      <c r="G915" t="s">
        <v>171</v>
      </c>
    </row>
    <row r="916" spans="1:7" x14ac:dyDescent="0.25">
      <c r="A916" s="1">
        <v>45111</v>
      </c>
      <c r="B916">
        <v>2023</v>
      </c>
      <c r="C916" s="1">
        <v>45109</v>
      </c>
      <c r="D916" s="1">
        <v>45110</v>
      </c>
      <c r="E916" t="s">
        <v>140</v>
      </c>
      <c r="F916">
        <v>45</v>
      </c>
      <c r="G916" t="s">
        <v>172</v>
      </c>
    </row>
    <row r="917" spans="1:7" x14ac:dyDescent="0.25">
      <c r="A917" s="1">
        <v>45112</v>
      </c>
      <c r="B917">
        <v>2023</v>
      </c>
      <c r="C917" s="1">
        <v>45109</v>
      </c>
      <c r="D917" s="1">
        <v>45110</v>
      </c>
      <c r="E917" t="s">
        <v>140</v>
      </c>
      <c r="F917">
        <v>45</v>
      </c>
      <c r="G917" t="s">
        <v>173</v>
      </c>
    </row>
    <row r="918" spans="1:7" x14ac:dyDescent="0.25">
      <c r="A918" s="1">
        <v>45113</v>
      </c>
      <c r="B918">
        <v>2023</v>
      </c>
      <c r="C918" s="1">
        <v>45109</v>
      </c>
      <c r="D918" s="1">
        <v>45110</v>
      </c>
      <c r="E918" t="s">
        <v>140</v>
      </c>
      <c r="F918">
        <v>45</v>
      </c>
      <c r="G918" t="s">
        <v>174</v>
      </c>
    </row>
    <row r="919" spans="1:7" x14ac:dyDescent="0.25">
      <c r="A919" s="1">
        <v>45114</v>
      </c>
      <c r="B919">
        <v>2023</v>
      </c>
      <c r="C919" s="1">
        <v>45109</v>
      </c>
      <c r="D919" s="1">
        <v>45110</v>
      </c>
      <c r="E919" t="s">
        <v>140</v>
      </c>
      <c r="F919">
        <v>45</v>
      </c>
      <c r="G919" t="s">
        <v>168</v>
      </c>
    </row>
    <row r="920" spans="1:7" x14ac:dyDescent="0.25">
      <c r="A920" s="1">
        <v>45115</v>
      </c>
      <c r="B920">
        <v>2023</v>
      </c>
      <c r="C920" s="1">
        <v>45109</v>
      </c>
      <c r="D920" s="1">
        <v>45110</v>
      </c>
      <c r="E920" t="s">
        <v>140</v>
      </c>
      <c r="F920">
        <v>45</v>
      </c>
      <c r="G920" t="s">
        <v>169</v>
      </c>
    </row>
    <row r="921" spans="1:7" x14ac:dyDescent="0.25">
      <c r="A921" s="1">
        <v>45116</v>
      </c>
      <c r="B921">
        <v>2023</v>
      </c>
      <c r="C921" s="1">
        <v>45116</v>
      </c>
      <c r="D921" s="1">
        <v>45110</v>
      </c>
      <c r="E921" t="s">
        <v>140</v>
      </c>
      <c r="F921">
        <v>45</v>
      </c>
      <c r="G921" t="s">
        <v>170</v>
      </c>
    </row>
    <row r="922" spans="1:7" x14ac:dyDescent="0.25">
      <c r="A922" s="1">
        <v>45117</v>
      </c>
      <c r="B922">
        <v>2023</v>
      </c>
      <c r="C922" s="1">
        <v>45116</v>
      </c>
      <c r="D922" s="1">
        <v>45117</v>
      </c>
      <c r="E922" t="s">
        <v>141</v>
      </c>
      <c r="F922">
        <v>46</v>
      </c>
      <c r="G922" t="s">
        <v>171</v>
      </c>
    </row>
    <row r="923" spans="1:7" x14ac:dyDescent="0.25">
      <c r="A923" s="1">
        <v>45118</v>
      </c>
      <c r="B923">
        <v>2023</v>
      </c>
      <c r="C923" s="1">
        <v>45116</v>
      </c>
      <c r="D923" s="1">
        <v>45117</v>
      </c>
      <c r="E923" t="s">
        <v>141</v>
      </c>
      <c r="F923">
        <v>46</v>
      </c>
      <c r="G923" t="s">
        <v>172</v>
      </c>
    </row>
    <row r="924" spans="1:7" x14ac:dyDescent="0.25">
      <c r="A924" s="1">
        <v>45119</v>
      </c>
      <c r="B924">
        <v>2023</v>
      </c>
      <c r="C924" s="1">
        <v>45116</v>
      </c>
      <c r="D924" s="1">
        <v>45117</v>
      </c>
      <c r="E924" t="s">
        <v>141</v>
      </c>
      <c r="F924">
        <v>46</v>
      </c>
      <c r="G924" t="s">
        <v>173</v>
      </c>
    </row>
    <row r="925" spans="1:7" x14ac:dyDescent="0.25">
      <c r="A925" s="1">
        <v>45120</v>
      </c>
      <c r="B925">
        <v>2023</v>
      </c>
      <c r="C925" s="1">
        <v>45116</v>
      </c>
      <c r="D925" s="1">
        <v>45117</v>
      </c>
      <c r="E925" t="s">
        <v>141</v>
      </c>
      <c r="F925">
        <v>46</v>
      </c>
      <c r="G925" t="s">
        <v>174</v>
      </c>
    </row>
    <row r="926" spans="1:7" x14ac:dyDescent="0.25">
      <c r="A926" s="1">
        <v>45121</v>
      </c>
      <c r="B926">
        <v>2023</v>
      </c>
      <c r="C926" s="1">
        <v>45116</v>
      </c>
      <c r="D926" s="1">
        <v>45117</v>
      </c>
      <c r="E926" t="s">
        <v>141</v>
      </c>
      <c r="F926">
        <v>46</v>
      </c>
      <c r="G926" t="s">
        <v>168</v>
      </c>
    </row>
    <row r="927" spans="1:7" x14ac:dyDescent="0.25">
      <c r="A927" s="1">
        <v>45122</v>
      </c>
      <c r="B927">
        <v>2023</v>
      </c>
      <c r="C927" s="1">
        <v>45116</v>
      </c>
      <c r="D927" s="1">
        <v>45117</v>
      </c>
      <c r="E927" t="s">
        <v>141</v>
      </c>
      <c r="F927">
        <v>46</v>
      </c>
      <c r="G927" t="s">
        <v>169</v>
      </c>
    </row>
    <row r="928" spans="1:7" x14ac:dyDescent="0.25">
      <c r="A928" s="1">
        <v>45123</v>
      </c>
      <c r="B928">
        <v>2023</v>
      </c>
      <c r="C928" s="1">
        <v>45123</v>
      </c>
      <c r="D928" s="1">
        <v>45117</v>
      </c>
      <c r="E928" t="s">
        <v>141</v>
      </c>
      <c r="F928">
        <v>46</v>
      </c>
      <c r="G928" t="s">
        <v>170</v>
      </c>
    </row>
    <row r="929" spans="1:7" x14ac:dyDescent="0.25">
      <c r="A929" s="1">
        <v>45124</v>
      </c>
      <c r="B929">
        <v>2023</v>
      </c>
      <c r="C929" s="1">
        <v>45123</v>
      </c>
      <c r="D929" s="1">
        <v>45124</v>
      </c>
      <c r="E929" t="s">
        <v>142</v>
      </c>
      <c r="F929">
        <v>47</v>
      </c>
      <c r="G929" t="s">
        <v>171</v>
      </c>
    </row>
    <row r="930" spans="1:7" x14ac:dyDescent="0.25">
      <c r="A930" s="1">
        <v>45125</v>
      </c>
      <c r="B930">
        <v>2023</v>
      </c>
      <c r="C930" s="1">
        <v>45123</v>
      </c>
      <c r="D930" s="1">
        <v>45124</v>
      </c>
      <c r="E930" t="s">
        <v>142</v>
      </c>
      <c r="F930">
        <v>47</v>
      </c>
      <c r="G930" t="s">
        <v>172</v>
      </c>
    </row>
    <row r="931" spans="1:7" x14ac:dyDescent="0.25">
      <c r="A931" s="1">
        <v>45126</v>
      </c>
      <c r="B931">
        <v>2023</v>
      </c>
      <c r="C931" s="1">
        <v>45123</v>
      </c>
      <c r="D931" s="1">
        <v>45124</v>
      </c>
      <c r="E931" t="s">
        <v>142</v>
      </c>
      <c r="F931">
        <v>47</v>
      </c>
      <c r="G931" t="s">
        <v>173</v>
      </c>
    </row>
    <row r="932" spans="1:7" x14ac:dyDescent="0.25">
      <c r="A932" s="1">
        <v>45127</v>
      </c>
      <c r="B932">
        <v>2023</v>
      </c>
      <c r="C932" s="1">
        <v>45123</v>
      </c>
      <c r="D932" s="1">
        <v>45124</v>
      </c>
      <c r="E932" t="s">
        <v>142</v>
      </c>
      <c r="F932">
        <v>47</v>
      </c>
      <c r="G932" t="s">
        <v>174</v>
      </c>
    </row>
    <row r="933" spans="1:7" x14ac:dyDescent="0.25">
      <c r="A933" s="1">
        <v>45128</v>
      </c>
      <c r="B933">
        <v>2023</v>
      </c>
      <c r="C933" s="1">
        <v>45123</v>
      </c>
      <c r="D933" s="1">
        <v>45124</v>
      </c>
      <c r="E933" t="s">
        <v>142</v>
      </c>
      <c r="F933">
        <v>47</v>
      </c>
      <c r="G933" t="s">
        <v>168</v>
      </c>
    </row>
    <row r="934" spans="1:7" x14ac:dyDescent="0.25">
      <c r="A934" s="1">
        <v>45129</v>
      </c>
      <c r="B934">
        <v>2023</v>
      </c>
      <c r="C934" s="1">
        <v>45123</v>
      </c>
      <c r="D934" s="1">
        <v>45124</v>
      </c>
      <c r="E934" t="s">
        <v>142</v>
      </c>
      <c r="F934">
        <v>47</v>
      </c>
      <c r="G934" t="s">
        <v>169</v>
      </c>
    </row>
    <row r="935" spans="1:7" x14ac:dyDescent="0.25">
      <c r="A935" s="1">
        <v>45130</v>
      </c>
      <c r="B935">
        <v>2023</v>
      </c>
      <c r="C935" s="1">
        <v>45130</v>
      </c>
      <c r="D935" s="1">
        <v>45124</v>
      </c>
      <c r="E935" t="s">
        <v>142</v>
      </c>
      <c r="F935">
        <v>47</v>
      </c>
      <c r="G935" t="s">
        <v>170</v>
      </c>
    </row>
    <row r="936" spans="1:7" x14ac:dyDescent="0.25">
      <c r="A936" s="1">
        <v>45131</v>
      </c>
      <c r="B936">
        <v>2023</v>
      </c>
      <c r="C936" s="1">
        <v>45130</v>
      </c>
      <c r="D936" s="1">
        <v>45131</v>
      </c>
      <c r="E936" t="s">
        <v>143</v>
      </c>
      <c r="F936">
        <v>48</v>
      </c>
      <c r="G936" t="s">
        <v>171</v>
      </c>
    </row>
    <row r="937" spans="1:7" x14ac:dyDescent="0.25">
      <c r="A937" s="1">
        <v>45132</v>
      </c>
      <c r="B937">
        <v>2023</v>
      </c>
      <c r="C937" s="1">
        <v>45130</v>
      </c>
      <c r="D937" s="1">
        <v>45131</v>
      </c>
      <c r="E937" t="s">
        <v>143</v>
      </c>
      <c r="F937">
        <v>48</v>
      </c>
      <c r="G937" t="s">
        <v>172</v>
      </c>
    </row>
    <row r="938" spans="1:7" x14ac:dyDescent="0.25">
      <c r="A938" s="1">
        <v>45133</v>
      </c>
      <c r="B938">
        <v>2023</v>
      </c>
      <c r="C938" s="1">
        <v>45130</v>
      </c>
      <c r="D938" s="1">
        <v>45131</v>
      </c>
      <c r="E938" t="s">
        <v>143</v>
      </c>
      <c r="F938">
        <v>48</v>
      </c>
      <c r="G938" t="s">
        <v>173</v>
      </c>
    </row>
    <row r="939" spans="1:7" x14ac:dyDescent="0.25">
      <c r="A939" s="1">
        <v>45134</v>
      </c>
      <c r="B939">
        <v>2023</v>
      </c>
      <c r="C939" s="1">
        <v>45130</v>
      </c>
      <c r="D939" s="1">
        <v>45131</v>
      </c>
      <c r="E939" t="s">
        <v>143</v>
      </c>
      <c r="F939">
        <v>48</v>
      </c>
      <c r="G939" t="s">
        <v>174</v>
      </c>
    </row>
    <row r="940" spans="1:7" x14ac:dyDescent="0.25">
      <c r="A940" s="1">
        <v>45135</v>
      </c>
      <c r="B940">
        <v>2023</v>
      </c>
      <c r="C940" s="1">
        <v>45130</v>
      </c>
      <c r="D940" s="1">
        <v>45131</v>
      </c>
      <c r="E940" t="s">
        <v>143</v>
      </c>
      <c r="F940">
        <v>48</v>
      </c>
      <c r="G940" t="s">
        <v>168</v>
      </c>
    </row>
    <row r="941" spans="1:7" x14ac:dyDescent="0.25">
      <c r="A941" s="1">
        <v>45136</v>
      </c>
      <c r="B941">
        <v>2023</v>
      </c>
      <c r="C941" s="1">
        <v>45130</v>
      </c>
      <c r="D941" s="1">
        <v>45131</v>
      </c>
      <c r="E941" t="s">
        <v>143</v>
      </c>
      <c r="F941">
        <v>48</v>
      </c>
      <c r="G941" t="s">
        <v>169</v>
      </c>
    </row>
    <row r="942" spans="1:7" x14ac:dyDescent="0.25">
      <c r="A942" s="1">
        <v>45137</v>
      </c>
      <c r="B942">
        <v>2023</v>
      </c>
      <c r="C942" s="1">
        <v>45137</v>
      </c>
      <c r="D942" s="1">
        <v>45131</v>
      </c>
      <c r="E942" t="s">
        <v>143</v>
      </c>
      <c r="F942">
        <v>48</v>
      </c>
      <c r="G942" t="s">
        <v>170</v>
      </c>
    </row>
    <row r="943" spans="1:7" x14ac:dyDescent="0.25">
      <c r="A943" s="1">
        <v>45138</v>
      </c>
      <c r="B943">
        <v>2023</v>
      </c>
      <c r="C943" s="1">
        <v>45137</v>
      </c>
      <c r="D943" s="1">
        <v>45138</v>
      </c>
      <c r="E943" t="s">
        <v>144</v>
      </c>
      <c r="F943">
        <v>49</v>
      </c>
      <c r="G943" t="s">
        <v>171</v>
      </c>
    </row>
    <row r="944" spans="1:7" x14ac:dyDescent="0.25">
      <c r="A944" s="1">
        <v>45139</v>
      </c>
      <c r="B944">
        <v>2023</v>
      </c>
      <c r="C944" s="1">
        <v>45137</v>
      </c>
      <c r="D944" s="1">
        <v>45138</v>
      </c>
      <c r="E944" t="s">
        <v>144</v>
      </c>
      <c r="F944">
        <v>49</v>
      </c>
      <c r="G944" t="s">
        <v>172</v>
      </c>
    </row>
    <row r="945" spans="1:7" x14ac:dyDescent="0.25">
      <c r="A945" s="1">
        <v>45140</v>
      </c>
      <c r="B945">
        <v>2023</v>
      </c>
      <c r="C945" s="1">
        <v>45137</v>
      </c>
      <c r="D945" s="1">
        <v>45138</v>
      </c>
      <c r="E945" t="s">
        <v>144</v>
      </c>
      <c r="F945">
        <v>49</v>
      </c>
      <c r="G945" t="s">
        <v>173</v>
      </c>
    </row>
    <row r="946" spans="1:7" x14ac:dyDescent="0.25">
      <c r="A946" s="1">
        <v>45141</v>
      </c>
      <c r="B946">
        <v>2023</v>
      </c>
      <c r="C946" s="1">
        <v>45137</v>
      </c>
      <c r="D946" s="1">
        <v>45138</v>
      </c>
      <c r="E946" t="s">
        <v>144</v>
      </c>
      <c r="F946">
        <v>49</v>
      </c>
      <c r="G946" t="s">
        <v>174</v>
      </c>
    </row>
    <row r="947" spans="1:7" x14ac:dyDescent="0.25">
      <c r="A947" s="1">
        <v>45142</v>
      </c>
      <c r="B947">
        <v>2023</v>
      </c>
      <c r="C947" s="1">
        <v>45137</v>
      </c>
      <c r="D947" s="1">
        <v>45138</v>
      </c>
      <c r="E947" t="s">
        <v>144</v>
      </c>
      <c r="F947">
        <v>49</v>
      </c>
      <c r="G947" t="s">
        <v>168</v>
      </c>
    </row>
    <row r="948" spans="1:7" x14ac:dyDescent="0.25">
      <c r="A948" s="1">
        <v>45143</v>
      </c>
      <c r="B948">
        <v>2023</v>
      </c>
      <c r="C948" s="1">
        <v>45137</v>
      </c>
      <c r="D948" s="1">
        <v>45138</v>
      </c>
      <c r="E948" t="s">
        <v>144</v>
      </c>
      <c r="F948">
        <v>49</v>
      </c>
      <c r="G948" t="s">
        <v>169</v>
      </c>
    </row>
    <row r="949" spans="1:7" x14ac:dyDescent="0.25">
      <c r="A949" s="1">
        <v>45144</v>
      </c>
      <c r="B949">
        <v>2023</v>
      </c>
      <c r="C949" s="1">
        <v>45144</v>
      </c>
      <c r="D949" s="1">
        <v>45138</v>
      </c>
      <c r="E949" t="s">
        <v>144</v>
      </c>
      <c r="F949">
        <v>49</v>
      </c>
      <c r="G949" t="s">
        <v>170</v>
      </c>
    </row>
    <row r="950" spans="1:7" x14ac:dyDescent="0.25">
      <c r="A950" s="1">
        <v>45145</v>
      </c>
      <c r="B950">
        <v>2023</v>
      </c>
      <c r="C950" s="1">
        <v>45144</v>
      </c>
      <c r="D950" s="1">
        <v>45145</v>
      </c>
      <c r="E950" t="s">
        <v>145</v>
      </c>
      <c r="F950">
        <v>50</v>
      </c>
      <c r="G950" t="s">
        <v>171</v>
      </c>
    </row>
    <row r="951" spans="1:7" x14ac:dyDescent="0.25">
      <c r="A951" s="1">
        <v>45146</v>
      </c>
      <c r="B951">
        <v>2023</v>
      </c>
      <c r="C951" s="1">
        <v>45144</v>
      </c>
      <c r="D951" s="1">
        <v>45145</v>
      </c>
      <c r="E951" t="s">
        <v>145</v>
      </c>
      <c r="F951">
        <v>50</v>
      </c>
      <c r="G951" t="s">
        <v>172</v>
      </c>
    </row>
    <row r="952" spans="1:7" x14ac:dyDescent="0.25">
      <c r="A952" s="1">
        <v>45147</v>
      </c>
      <c r="B952">
        <v>2023</v>
      </c>
      <c r="C952" s="1">
        <v>45144</v>
      </c>
      <c r="D952" s="1">
        <v>45145</v>
      </c>
      <c r="E952" t="s">
        <v>145</v>
      </c>
      <c r="F952">
        <v>50</v>
      </c>
      <c r="G952" t="s">
        <v>173</v>
      </c>
    </row>
    <row r="953" spans="1:7" x14ac:dyDescent="0.25">
      <c r="A953" s="1">
        <v>45148</v>
      </c>
      <c r="B953">
        <v>2023</v>
      </c>
      <c r="C953" s="1">
        <v>45144</v>
      </c>
      <c r="D953" s="1">
        <v>45145</v>
      </c>
      <c r="E953" t="s">
        <v>145</v>
      </c>
      <c r="F953">
        <v>50</v>
      </c>
      <c r="G953" t="s">
        <v>174</v>
      </c>
    </row>
    <row r="954" spans="1:7" x14ac:dyDescent="0.25">
      <c r="A954" s="1">
        <v>45149</v>
      </c>
      <c r="B954">
        <v>2023</v>
      </c>
      <c r="C954" s="1">
        <v>45144</v>
      </c>
      <c r="D954" s="1">
        <v>45145</v>
      </c>
      <c r="E954" t="s">
        <v>145</v>
      </c>
      <c r="F954">
        <v>50</v>
      </c>
      <c r="G954" t="s">
        <v>168</v>
      </c>
    </row>
    <row r="955" spans="1:7" x14ac:dyDescent="0.25">
      <c r="A955" s="1">
        <v>45150</v>
      </c>
      <c r="B955">
        <v>2023</v>
      </c>
      <c r="C955" s="1">
        <v>45144</v>
      </c>
      <c r="D955" s="1">
        <v>45145</v>
      </c>
      <c r="E955" t="s">
        <v>145</v>
      </c>
      <c r="F955">
        <v>50</v>
      </c>
      <c r="G955" t="s">
        <v>169</v>
      </c>
    </row>
    <row r="956" spans="1:7" x14ac:dyDescent="0.25">
      <c r="A956" s="1">
        <v>45151</v>
      </c>
      <c r="B956">
        <v>2023</v>
      </c>
      <c r="C956" s="1">
        <v>45151</v>
      </c>
      <c r="D956" s="1">
        <v>45145</v>
      </c>
      <c r="E956" t="s">
        <v>145</v>
      </c>
      <c r="F956">
        <v>50</v>
      </c>
      <c r="G956" t="s">
        <v>170</v>
      </c>
    </row>
    <row r="957" spans="1:7" x14ac:dyDescent="0.25">
      <c r="A957" s="1">
        <v>45152</v>
      </c>
      <c r="B957">
        <v>2023</v>
      </c>
      <c r="C957" s="1">
        <v>45151</v>
      </c>
      <c r="D957" s="1">
        <v>45152</v>
      </c>
      <c r="E957" t="s">
        <v>146</v>
      </c>
      <c r="F957">
        <v>51</v>
      </c>
      <c r="G957" t="s">
        <v>171</v>
      </c>
    </row>
    <row r="958" spans="1:7" x14ac:dyDescent="0.25">
      <c r="A958" s="1">
        <v>45153</v>
      </c>
      <c r="B958">
        <v>2023</v>
      </c>
      <c r="C958" s="1">
        <v>45151</v>
      </c>
      <c r="D958" s="1">
        <v>45152</v>
      </c>
      <c r="E958" t="s">
        <v>146</v>
      </c>
      <c r="F958">
        <v>51</v>
      </c>
      <c r="G958" t="s">
        <v>172</v>
      </c>
    </row>
    <row r="959" spans="1:7" x14ac:dyDescent="0.25">
      <c r="A959" s="1">
        <v>45154</v>
      </c>
      <c r="B959">
        <v>2023</v>
      </c>
      <c r="C959" s="1">
        <v>45151</v>
      </c>
      <c r="D959" s="1">
        <v>45152</v>
      </c>
      <c r="E959" t="s">
        <v>146</v>
      </c>
      <c r="F959">
        <v>51</v>
      </c>
      <c r="G959" t="s">
        <v>173</v>
      </c>
    </row>
    <row r="960" spans="1:7" x14ac:dyDescent="0.25">
      <c r="A960" s="1">
        <v>45155</v>
      </c>
      <c r="B960">
        <v>2023</v>
      </c>
      <c r="C960" s="1">
        <v>45151</v>
      </c>
      <c r="D960" s="1">
        <v>45152</v>
      </c>
      <c r="E960" t="s">
        <v>146</v>
      </c>
      <c r="F960">
        <v>51</v>
      </c>
      <c r="G960" t="s">
        <v>174</v>
      </c>
    </row>
    <row r="961" spans="1:7" x14ac:dyDescent="0.25">
      <c r="A961" s="1">
        <v>45156</v>
      </c>
      <c r="B961">
        <v>2023</v>
      </c>
      <c r="C961" s="1">
        <v>45151</v>
      </c>
      <c r="D961" s="1">
        <v>45152</v>
      </c>
      <c r="E961" t="s">
        <v>146</v>
      </c>
      <c r="F961">
        <v>51</v>
      </c>
      <c r="G961" t="s">
        <v>168</v>
      </c>
    </row>
    <row r="962" spans="1:7" x14ac:dyDescent="0.25">
      <c r="A962" s="1">
        <v>45157</v>
      </c>
      <c r="B962">
        <v>2023</v>
      </c>
      <c r="C962" s="1">
        <v>45151</v>
      </c>
      <c r="D962" s="1">
        <v>45152</v>
      </c>
      <c r="E962" t="s">
        <v>146</v>
      </c>
      <c r="F962">
        <v>51</v>
      </c>
      <c r="G962" t="s">
        <v>169</v>
      </c>
    </row>
    <row r="963" spans="1:7" x14ac:dyDescent="0.25">
      <c r="A963" s="1">
        <v>45158</v>
      </c>
      <c r="B963">
        <v>2023</v>
      </c>
      <c r="C963" s="1">
        <v>45158</v>
      </c>
      <c r="D963" s="1">
        <v>45152</v>
      </c>
      <c r="E963" t="s">
        <v>146</v>
      </c>
      <c r="F963">
        <v>51</v>
      </c>
      <c r="G963" t="s">
        <v>170</v>
      </c>
    </row>
    <row r="964" spans="1:7" x14ac:dyDescent="0.25">
      <c r="A964" s="1">
        <v>45159</v>
      </c>
      <c r="B964">
        <v>2023</v>
      </c>
      <c r="C964" s="1">
        <v>45158</v>
      </c>
      <c r="D964" s="1">
        <v>45159</v>
      </c>
      <c r="E964" t="s">
        <v>147</v>
      </c>
      <c r="F964">
        <v>52</v>
      </c>
      <c r="G964" t="s">
        <v>171</v>
      </c>
    </row>
    <row r="965" spans="1:7" x14ac:dyDescent="0.25">
      <c r="A965" s="1">
        <v>45160</v>
      </c>
      <c r="B965">
        <v>2023</v>
      </c>
      <c r="C965" s="1">
        <v>45158</v>
      </c>
      <c r="D965" s="1">
        <v>45159</v>
      </c>
      <c r="E965" t="s">
        <v>147</v>
      </c>
      <c r="F965">
        <v>52</v>
      </c>
      <c r="G965" t="s">
        <v>172</v>
      </c>
    </row>
    <row r="966" spans="1:7" x14ac:dyDescent="0.25">
      <c r="A966" s="1">
        <v>45161</v>
      </c>
      <c r="B966">
        <v>2023</v>
      </c>
      <c r="C966" s="1">
        <v>45158</v>
      </c>
      <c r="D966" s="1">
        <v>45159</v>
      </c>
      <c r="E966" t="s">
        <v>147</v>
      </c>
      <c r="F966">
        <v>52</v>
      </c>
      <c r="G966" t="s">
        <v>173</v>
      </c>
    </row>
    <row r="967" spans="1:7" x14ac:dyDescent="0.25">
      <c r="A967" s="1">
        <v>45162</v>
      </c>
      <c r="B967">
        <v>2023</v>
      </c>
      <c r="C967" s="1">
        <v>45158</v>
      </c>
      <c r="D967" s="1">
        <v>45159</v>
      </c>
      <c r="E967" t="s">
        <v>147</v>
      </c>
      <c r="F967">
        <v>52</v>
      </c>
      <c r="G967" t="s">
        <v>174</v>
      </c>
    </row>
    <row r="968" spans="1:7" x14ac:dyDescent="0.25">
      <c r="A968" s="1">
        <v>45163</v>
      </c>
      <c r="B968">
        <v>2023</v>
      </c>
      <c r="C968" s="1">
        <v>45158</v>
      </c>
      <c r="D968" s="1">
        <v>45159</v>
      </c>
      <c r="E968" t="s">
        <v>147</v>
      </c>
      <c r="F968">
        <v>52</v>
      </c>
      <c r="G968" t="s">
        <v>168</v>
      </c>
    </row>
    <row r="969" spans="1:7" x14ac:dyDescent="0.25">
      <c r="A969" s="1">
        <v>45164</v>
      </c>
      <c r="B969">
        <v>2023</v>
      </c>
      <c r="C969" s="1">
        <v>45158</v>
      </c>
      <c r="D969" s="1">
        <v>45159</v>
      </c>
      <c r="E969" t="s">
        <v>147</v>
      </c>
      <c r="F969">
        <v>52</v>
      </c>
      <c r="G969" t="s">
        <v>169</v>
      </c>
    </row>
    <row r="970" spans="1:7" x14ac:dyDescent="0.25">
      <c r="A970" s="1">
        <v>45165</v>
      </c>
      <c r="B970">
        <v>2023</v>
      </c>
      <c r="C970" s="1">
        <v>45165</v>
      </c>
      <c r="D970" s="1">
        <v>45159</v>
      </c>
      <c r="E970" t="s">
        <v>147</v>
      </c>
      <c r="F970">
        <v>52</v>
      </c>
      <c r="G970" t="s">
        <v>170</v>
      </c>
    </row>
    <row r="971" spans="1:7" x14ac:dyDescent="0.25">
      <c r="A971" s="1">
        <v>45166</v>
      </c>
      <c r="B971">
        <v>2023</v>
      </c>
      <c r="C971" s="1">
        <v>45165</v>
      </c>
      <c r="D971" s="1">
        <v>45166</v>
      </c>
      <c r="E971" t="s">
        <v>148</v>
      </c>
      <c r="F971">
        <v>1</v>
      </c>
      <c r="G971" t="s">
        <v>171</v>
      </c>
    </row>
    <row r="972" spans="1:7" x14ac:dyDescent="0.25">
      <c r="A972" s="1">
        <v>45167</v>
      </c>
      <c r="B972">
        <v>2023</v>
      </c>
      <c r="C972" s="1">
        <v>45165</v>
      </c>
      <c r="D972" s="1">
        <v>45166</v>
      </c>
      <c r="E972" t="s">
        <v>148</v>
      </c>
      <c r="F972">
        <v>1</v>
      </c>
      <c r="G972" t="s">
        <v>172</v>
      </c>
    </row>
    <row r="973" spans="1:7" x14ac:dyDescent="0.25">
      <c r="A973" s="1">
        <v>45168</v>
      </c>
      <c r="B973">
        <v>2023</v>
      </c>
      <c r="C973" s="1">
        <v>45165</v>
      </c>
      <c r="D973" s="1">
        <v>45166</v>
      </c>
      <c r="E973" t="s">
        <v>148</v>
      </c>
      <c r="F973">
        <v>1</v>
      </c>
      <c r="G973" t="s">
        <v>173</v>
      </c>
    </row>
    <row r="974" spans="1:7" x14ac:dyDescent="0.25">
      <c r="A974" s="1">
        <v>45169</v>
      </c>
      <c r="B974">
        <v>2023</v>
      </c>
      <c r="C974" s="1">
        <v>45165</v>
      </c>
      <c r="D974" s="1">
        <v>45166</v>
      </c>
      <c r="E974" t="s">
        <v>148</v>
      </c>
      <c r="F974">
        <v>1</v>
      </c>
      <c r="G974" t="s">
        <v>174</v>
      </c>
    </row>
    <row r="975" spans="1:7" x14ac:dyDescent="0.25">
      <c r="A975" s="1">
        <v>45170</v>
      </c>
      <c r="B975">
        <v>2023</v>
      </c>
      <c r="C975" s="1">
        <v>45165</v>
      </c>
      <c r="D975" s="1">
        <v>45166</v>
      </c>
      <c r="E975" t="s">
        <v>148</v>
      </c>
      <c r="F975">
        <v>1</v>
      </c>
      <c r="G975" t="s">
        <v>168</v>
      </c>
    </row>
    <row r="976" spans="1:7" x14ac:dyDescent="0.25">
      <c r="A976" s="1">
        <v>45171</v>
      </c>
      <c r="B976">
        <v>2023</v>
      </c>
      <c r="C976" s="1">
        <v>45165</v>
      </c>
      <c r="D976" s="1">
        <v>45166</v>
      </c>
      <c r="E976" t="s">
        <v>148</v>
      </c>
      <c r="F976">
        <v>1</v>
      </c>
      <c r="G976" t="s">
        <v>169</v>
      </c>
    </row>
    <row r="977" spans="1:7" x14ac:dyDescent="0.25">
      <c r="A977" s="1">
        <v>45172</v>
      </c>
      <c r="B977">
        <v>2023</v>
      </c>
      <c r="C977" s="1">
        <v>45172</v>
      </c>
      <c r="D977" s="1">
        <v>45166</v>
      </c>
      <c r="E977" t="s">
        <v>148</v>
      </c>
      <c r="F977">
        <v>1</v>
      </c>
      <c r="G977" t="s">
        <v>170</v>
      </c>
    </row>
    <row r="978" spans="1:7" x14ac:dyDescent="0.25">
      <c r="A978" s="1">
        <v>45173</v>
      </c>
      <c r="B978">
        <v>2023</v>
      </c>
      <c r="C978" s="1">
        <v>45172</v>
      </c>
      <c r="D978" s="1">
        <v>45173</v>
      </c>
      <c r="E978" t="s">
        <v>149</v>
      </c>
      <c r="F978">
        <v>2</v>
      </c>
      <c r="G978" t="s">
        <v>171</v>
      </c>
    </row>
    <row r="979" spans="1:7" x14ac:dyDescent="0.25">
      <c r="A979" s="1">
        <v>45174</v>
      </c>
      <c r="B979">
        <v>2023</v>
      </c>
      <c r="C979" s="1">
        <v>45172</v>
      </c>
      <c r="D979" s="1">
        <v>45173</v>
      </c>
      <c r="E979" t="s">
        <v>149</v>
      </c>
      <c r="F979">
        <v>2</v>
      </c>
      <c r="G979" t="s">
        <v>172</v>
      </c>
    </row>
    <row r="980" spans="1:7" x14ac:dyDescent="0.25">
      <c r="A980" s="1">
        <v>45175</v>
      </c>
      <c r="B980">
        <v>2023</v>
      </c>
      <c r="C980" s="1">
        <v>45172</v>
      </c>
      <c r="D980" s="1">
        <v>45173</v>
      </c>
      <c r="E980" t="s">
        <v>149</v>
      </c>
      <c r="F980">
        <v>2</v>
      </c>
      <c r="G980" t="s">
        <v>173</v>
      </c>
    </row>
    <row r="981" spans="1:7" x14ac:dyDescent="0.25">
      <c r="A981" s="1">
        <v>45176</v>
      </c>
      <c r="B981">
        <v>2023</v>
      </c>
      <c r="C981" s="1">
        <v>45172</v>
      </c>
      <c r="D981" s="1">
        <v>45173</v>
      </c>
      <c r="E981" t="s">
        <v>149</v>
      </c>
      <c r="F981">
        <v>2</v>
      </c>
      <c r="G981" t="s">
        <v>174</v>
      </c>
    </row>
    <row r="982" spans="1:7" x14ac:dyDescent="0.25">
      <c r="A982" s="1">
        <v>45177</v>
      </c>
      <c r="B982">
        <v>2023</v>
      </c>
      <c r="C982" s="1">
        <v>45172</v>
      </c>
      <c r="D982" s="1">
        <v>45173</v>
      </c>
      <c r="E982" t="s">
        <v>149</v>
      </c>
      <c r="F982">
        <v>2</v>
      </c>
      <c r="G982" t="s">
        <v>168</v>
      </c>
    </row>
    <row r="983" spans="1:7" x14ac:dyDescent="0.25">
      <c r="A983" s="1">
        <v>45178</v>
      </c>
      <c r="B983">
        <v>2023</v>
      </c>
      <c r="C983" s="1">
        <v>45172</v>
      </c>
      <c r="D983" s="1">
        <v>45173</v>
      </c>
      <c r="E983" t="s">
        <v>149</v>
      </c>
      <c r="F983">
        <v>2</v>
      </c>
      <c r="G983" t="s">
        <v>169</v>
      </c>
    </row>
    <row r="984" spans="1:7" x14ac:dyDescent="0.25">
      <c r="A984" s="1">
        <v>45179</v>
      </c>
      <c r="B984">
        <v>2023</v>
      </c>
      <c r="C984" s="1">
        <v>45179</v>
      </c>
      <c r="D984" s="1">
        <v>45173</v>
      </c>
      <c r="E984" t="s">
        <v>149</v>
      </c>
      <c r="F984">
        <v>2</v>
      </c>
      <c r="G984" t="s">
        <v>170</v>
      </c>
    </row>
    <row r="985" spans="1:7" x14ac:dyDescent="0.25">
      <c r="A985" s="1">
        <v>45180</v>
      </c>
      <c r="B985">
        <v>2023</v>
      </c>
      <c r="C985" s="1">
        <v>45179</v>
      </c>
      <c r="D985" s="1">
        <v>45180</v>
      </c>
      <c r="E985" t="s">
        <v>150</v>
      </c>
      <c r="F985">
        <v>3</v>
      </c>
      <c r="G985" t="s">
        <v>171</v>
      </c>
    </row>
    <row r="986" spans="1:7" x14ac:dyDescent="0.25">
      <c r="A986" s="1">
        <v>45181</v>
      </c>
      <c r="B986">
        <v>2023</v>
      </c>
      <c r="C986" s="1">
        <v>45179</v>
      </c>
      <c r="D986" s="1">
        <v>45180</v>
      </c>
      <c r="E986" t="s">
        <v>150</v>
      </c>
      <c r="F986">
        <v>3</v>
      </c>
      <c r="G986" t="s">
        <v>172</v>
      </c>
    </row>
    <row r="987" spans="1:7" x14ac:dyDescent="0.25">
      <c r="A987" s="1">
        <v>45182</v>
      </c>
      <c r="B987">
        <v>2023</v>
      </c>
      <c r="C987" s="1">
        <v>45179</v>
      </c>
      <c r="D987" s="1">
        <v>45180</v>
      </c>
      <c r="E987" t="s">
        <v>150</v>
      </c>
      <c r="F987">
        <v>3</v>
      </c>
      <c r="G987" t="s">
        <v>173</v>
      </c>
    </row>
    <row r="988" spans="1:7" x14ac:dyDescent="0.25">
      <c r="A988" s="1">
        <v>45183</v>
      </c>
      <c r="B988">
        <v>2023</v>
      </c>
      <c r="C988" s="1">
        <v>45179</v>
      </c>
      <c r="D988" s="1">
        <v>45180</v>
      </c>
      <c r="E988" t="s">
        <v>150</v>
      </c>
      <c r="F988">
        <v>3</v>
      </c>
      <c r="G988" t="s">
        <v>174</v>
      </c>
    </row>
    <row r="989" spans="1:7" x14ac:dyDescent="0.25">
      <c r="A989" s="1">
        <v>45184</v>
      </c>
      <c r="B989">
        <v>2023</v>
      </c>
      <c r="C989" s="1">
        <v>45179</v>
      </c>
      <c r="D989" s="1">
        <v>45180</v>
      </c>
      <c r="E989" t="s">
        <v>150</v>
      </c>
      <c r="F989">
        <v>3</v>
      </c>
      <c r="G989" t="s">
        <v>168</v>
      </c>
    </row>
    <row r="990" spans="1:7" x14ac:dyDescent="0.25">
      <c r="A990" s="1">
        <v>45185</v>
      </c>
      <c r="B990">
        <v>2023</v>
      </c>
      <c r="C990" s="1">
        <v>45179</v>
      </c>
      <c r="D990" s="1">
        <v>45180</v>
      </c>
      <c r="E990" t="s">
        <v>150</v>
      </c>
      <c r="F990">
        <v>3</v>
      </c>
      <c r="G990" t="s">
        <v>169</v>
      </c>
    </row>
    <row r="991" spans="1:7" x14ac:dyDescent="0.25">
      <c r="A991" s="1">
        <v>45186</v>
      </c>
      <c r="B991">
        <v>2023</v>
      </c>
      <c r="C991" s="1">
        <v>45186</v>
      </c>
      <c r="D991" s="1">
        <v>45180</v>
      </c>
      <c r="E991" t="s">
        <v>150</v>
      </c>
      <c r="F991">
        <v>3</v>
      </c>
      <c r="G991" t="s">
        <v>170</v>
      </c>
    </row>
    <row r="992" spans="1:7" x14ac:dyDescent="0.25">
      <c r="A992" s="1">
        <v>45187</v>
      </c>
      <c r="B992">
        <v>2023</v>
      </c>
      <c r="C992" s="1">
        <v>45186</v>
      </c>
      <c r="D992" s="1">
        <v>45187</v>
      </c>
      <c r="E992" t="s">
        <v>151</v>
      </c>
      <c r="F992">
        <v>4</v>
      </c>
      <c r="G992" t="s">
        <v>171</v>
      </c>
    </row>
    <row r="993" spans="1:7" x14ac:dyDescent="0.25">
      <c r="A993" s="1">
        <v>45188</v>
      </c>
      <c r="B993">
        <v>2023</v>
      </c>
      <c r="C993" s="1">
        <v>45186</v>
      </c>
      <c r="D993" s="1">
        <v>45187</v>
      </c>
      <c r="E993" t="s">
        <v>151</v>
      </c>
      <c r="F993">
        <v>4</v>
      </c>
      <c r="G993" t="s">
        <v>172</v>
      </c>
    </row>
    <row r="994" spans="1:7" x14ac:dyDescent="0.25">
      <c r="A994" s="1">
        <v>45189</v>
      </c>
      <c r="B994">
        <v>2023</v>
      </c>
      <c r="C994" s="1">
        <v>45186</v>
      </c>
      <c r="D994" s="1">
        <v>45187</v>
      </c>
      <c r="E994" t="s">
        <v>151</v>
      </c>
      <c r="F994">
        <v>4</v>
      </c>
      <c r="G994" t="s">
        <v>173</v>
      </c>
    </row>
    <row r="995" spans="1:7" x14ac:dyDescent="0.25">
      <c r="A995" s="1">
        <v>45190</v>
      </c>
      <c r="B995">
        <v>2023</v>
      </c>
      <c r="C995" s="1">
        <v>45186</v>
      </c>
      <c r="D995" s="1">
        <v>45187</v>
      </c>
      <c r="E995" t="s">
        <v>151</v>
      </c>
      <c r="F995">
        <v>4</v>
      </c>
      <c r="G995" t="s">
        <v>174</v>
      </c>
    </row>
    <row r="996" spans="1:7" x14ac:dyDescent="0.25">
      <c r="A996" s="1">
        <v>45191</v>
      </c>
      <c r="B996">
        <v>2023</v>
      </c>
      <c r="C996" s="1">
        <v>45186</v>
      </c>
      <c r="D996" s="1">
        <v>45187</v>
      </c>
      <c r="E996" t="s">
        <v>151</v>
      </c>
      <c r="F996">
        <v>4</v>
      </c>
      <c r="G996" t="s">
        <v>168</v>
      </c>
    </row>
    <row r="997" spans="1:7" x14ac:dyDescent="0.25">
      <c r="A997" s="1">
        <v>45192</v>
      </c>
      <c r="B997">
        <v>2023</v>
      </c>
      <c r="C997" s="1">
        <v>45186</v>
      </c>
      <c r="D997" s="1">
        <v>45187</v>
      </c>
      <c r="E997" t="s">
        <v>151</v>
      </c>
      <c r="F997">
        <v>4</v>
      </c>
      <c r="G997" t="s">
        <v>169</v>
      </c>
    </row>
    <row r="998" spans="1:7" x14ac:dyDescent="0.25">
      <c r="A998" s="1">
        <v>45193</v>
      </c>
      <c r="B998">
        <v>2023</v>
      </c>
      <c r="C998" s="1">
        <v>45193</v>
      </c>
      <c r="D998" s="1">
        <v>45187</v>
      </c>
      <c r="E998" t="s">
        <v>151</v>
      </c>
      <c r="F998">
        <v>4</v>
      </c>
      <c r="G998" t="s">
        <v>170</v>
      </c>
    </row>
    <row r="999" spans="1:7" x14ac:dyDescent="0.25">
      <c r="A999" s="1">
        <v>45194</v>
      </c>
      <c r="B999">
        <v>2023</v>
      </c>
      <c r="C999" s="1">
        <v>45193</v>
      </c>
      <c r="D999" s="1">
        <v>45194</v>
      </c>
      <c r="E999" t="s">
        <v>152</v>
      </c>
      <c r="F999">
        <v>5</v>
      </c>
      <c r="G999" t="s">
        <v>171</v>
      </c>
    </row>
    <row r="1000" spans="1:7" x14ac:dyDescent="0.25">
      <c r="A1000" s="1">
        <v>45195</v>
      </c>
      <c r="B1000">
        <v>2023</v>
      </c>
      <c r="C1000" s="1">
        <v>45193</v>
      </c>
      <c r="D1000" s="1">
        <v>45194</v>
      </c>
      <c r="E1000" t="s">
        <v>152</v>
      </c>
      <c r="F1000">
        <v>5</v>
      </c>
      <c r="G1000" t="s">
        <v>172</v>
      </c>
    </row>
    <row r="1001" spans="1:7" x14ac:dyDescent="0.25">
      <c r="A1001" s="1">
        <v>45196</v>
      </c>
      <c r="B1001">
        <v>2023</v>
      </c>
      <c r="C1001" s="1">
        <v>45193</v>
      </c>
      <c r="D1001" s="1">
        <v>45194</v>
      </c>
      <c r="E1001" t="s">
        <v>152</v>
      </c>
      <c r="F1001">
        <v>5</v>
      </c>
      <c r="G1001" t="s">
        <v>173</v>
      </c>
    </row>
    <row r="1002" spans="1:7" x14ac:dyDescent="0.25">
      <c r="A1002" s="1">
        <v>45197</v>
      </c>
      <c r="B1002">
        <v>2023</v>
      </c>
      <c r="C1002" s="1">
        <v>45193</v>
      </c>
      <c r="D1002" s="1">
        <v>45194</v>
      </c>
      <c r="E1002" t="s">
        <v>152</v>
      </c>
      <c r="F1002">
        <v>5</v>
      </c>
      <c r="G1002" t="s">
        <v>174</v>
      </c>
    </row>
    <row r="1003" spans="1:7" x14ac:dyDescent="0.25">
      <c r="A1003" s="1">
        <v>45198</v>
      </c>
      <c r="B1003">
        <v>2023</v>
      </c>
      <c r="C1003" s="1">
        <v>45193</v>
      </c>
      <c r="D1003" s="1">
        <v>45194</v>
      </c>
      <c r="E1003" t="s">
        <v>152</v>
      </c>
      <c r="F1003">
        <v>5</v>
      </c>
      <c r="G1003" t="s">
        <v>168</v>
      </c>
    </row>
    <row r="1004" spans="1:7" x14ac:dyDescent="0.25">
      <c r="A1004" s="1">
        <v>45199</v>
      </c>
      <c r="B1004">
        <v>2023</v>
      </c>
      <c r="C1004" s="1">
        <v>45193</v>
      </c>
      <c r="D1004" s="1">
        <v>45194</v>
      </c>
      <c r="E1004" t="s">
        <v>152</v>
      </c>
      <c r="F1004">
        <v>5</v>
      </c>
      <c r="G1004" t="s">
        <v>169</v>
      </c>
    </row>
    <row r="1005" spans="1:7" x14ac:dyDescent="0.25">
      <c r="A1005" s="1">
        <v>45200</v>
      </c>
      <c r="B1005">
        <v>2023</v>
      </c>
      <c r="C1005" s="1">
        <v>45200</v>
      </c>
      <c r="D1005" s="1">
        <v>45194</v>
      </c>
      <c r="E1005" t="s">
        <v>152</v>
      </c>
      <c r="F1005">
        <v>5</v>
      </c>
      <c r="G1005" t="s">
        <v>170</v>
      </c>
    </row>
    <row r="1006" spans="1:7" x14ac:dyDescent="0.25">
      <c r="A1006" s="1">
        <v>45201</v>
      </c>
      <c r="B1006">
        <v>2023</v>
      </c>
      <c r="C1006" s="1">
        <v>45200</v>
      </c>
      <c r="D1006" s="1">
        <v>45201</v>
      </c>
      <c r="E1006" t="s">
        <v>153</v>
      </c>
      <c r="F1006">
        <v>6</v>
      </c>
      <c r="G1006" t="s">
        <v>171</v>
      </c>
    </row>
    <row r="1007" spans="1:7" x14ac:dyDescent="0.25">
      <c r="A1007" s="1">
        <v>45202</v>
      </c>
      <c r="B1007">
        <v>2023</v>
      </c>
      <c r="C1007" s="1">
        <v>45200</v>
      </c>
      <c r="D1007" s="1">
        <v>45201</v>
      </c>
      <c r="E1007" t="s">
        <v>153</v>
      </c>
      <c r="F1007">
        <v>6</v>
      </c>
      <c r="G1007" t="s">
        <v>172</v>
      </c>
    </row>
    <row r="1008" spans="1:7" x14ac:dyDescent="0.25">
      <c r="A1008" s="1">
        <v>45203</v>
      </c>
      <c r="B1008">
        <v>2023</v>
      </c>
      <c r="C1008" s="1">
        <v>45200</v>
      </c>
      <c r="D1008" s="1">
        <v>45201</v>
      </c>
      <c r="E1008" t="s">
        <v>153</v>
      </c>
      <c r="F1008">
        <v>6</v>
      </c>
      <c r="G1008" t="s">
        <v>173</v>
      </c>
    </row>
    <row r="1009" spans="1:7" x14ac:dyDescent="0.25">
      <c r="A1009" s="1">
        <v>45204</v>
      </c>
      <c r="B1009">
        <v>2023</v>
      </c>
      <c r="C1009" s="1">
        <v>45200</v>
      </c>
      <c r="D1009" s="1">
        <v>45201</v>
      </c>
      <c r="E1009" t="s">
        <v>153</v>
      </c>
      <c r="F1009">
        <v>6</v>
      </c>
      <c r="G1009" t="s">
        <v>174</v>
      </c>
    </row>
    <row r="1010" spans="1:7" x14ac:dyDescent="0.25">
      <c r="A1010" s="1">
        <v>45205</v>
      </c>
      <c r="B1010">
        <v>2023</v>
      </c>
      <c r="C1010" s="1">
        <v>45200</v>
      </c>
      <c r="D1010" s="1">
        <v>45201</v>
      </c>
      <c r="E1010" t="s">
        <v>153</v>
      </c>
      <c r="F1010">
        <v>6</v>
      </c>
      <c r="G1010" t="s">
        <v>168</v>
      </c>
    </row>
    <row r="1011" spans="1:7" x14ac:dyDescent="0.25">
      <c r="A1011" s="1">
        <v>45206</v>
      </c>
      <c r="B1011">
        <v>2023</v>
      </c>
      <c r="C1011" s="1">
        <v>45200</v>
      </c>
      <c r="D1011" s="1">
        <v>45201</v>
      </c>
      <c r="E1011" t="s">
        <v>153</v>
      </c>
      <c r="F1011">
        <v>6</v>
      </c>
      <c r="G1011" t="s">
        <v>169</v>
      </c>
    </row>
    <row r="1012" spans="1:7" x14ac:dyDescent="0.25">
      <c r="A1012" s="1">
        <v>45207</v>
      </c>
      <c r="B1012">
        <v>2023</v>
      </c>
      <c r="C1012" s="1">
        <v>45207</v>
      </c>
      <c r="D1012" s="1">
        <v>45201</v>
      </c>
      <c r="E1012" t="s">
        <v>153</v>
      </c>
      <c r="F1012">
        <v>6</v>
      </c>
      <c r="G1012" t="s">
        <v>170</v>
      </c>
    </row>
    <row r="1013" spans="1:7" x14ac:dyDescent="0.25">
      <c r="A1013" s="1">
        <v>45208</v>
      </c>
      <c r="B1013">
        <v>2023</v>
      </c>
      <c r="C1013" s="1">
        <v>45207</v>
      </c>
      <c r="D1013" s="1">
        <v>45208</v>
      </c>
      <c r="E1013" t="s">
        <v>154</v>
      </c>
      <c r="F1013">
        <v>7</v>
      </c>
      <c r="G1013" t="s">
        <v>171</v>
      </c>
    </row>
    <row r="1014" spans="1:7" x14ac:dyDescent="0.25">
      <c r="A1014" s="1">
        <v>45209</v>
      </c>
      <c r="B1014">
        <v>2023</v>
      </c>
      <c r="C1014" s="1">
        <v>45207</v>
      </c>
      <c r="D1014" s="1">
        <v>45208</v>
      </c>
      <c r="E1014" t="s">
        <v>154</v>
      </c>
      <c r="F1014">
        <v>7</v>
      </c>
      <c r="G1014" t="s">
        <v>172</v>
      </c>
    </row>
    <row r="1015" spans="1:7" x14ac:dyDescent="0.25">
      <c r="A1015" s="1">
        <v>45210</v>
      </c>
      <c r="B1015">
        <v>2023</v>
      </c>
      <c r="C1015" s="1">
        <v>45207</v>
      </c>
      <c r="D1015" s="1">
        <v>45208</v>
      </c>
      <c r="E1015" t="s">
        <v>154</v>
      </c>
      <c r="F1015">
        <v>7</v>
      </c>
      <c r="G1015" t="s">
        <v>173</v>
      </c>
    </row>
    <row r="1016" spans="1:7" x14ac:dyDescent="0.25">
      <c r="A1016" s="1">
        <v>45211</v>
      </c>
      <c r="B1016">
        <v>2023</v>
      </c>
      <c r="C1016" s="1">
        <v>45207</v>
      </c>
      <c r="D1016" s="1">
        <v>45208</v>
      </c>
      <c r="E1016" t="s">
        <v>154</v>
      </c>
      <c r="F1016">
        <v>7</v>
      </c>
      <c r="G1016" t="s">
        <v>174</v>
      </c>
    </row>
    <row r="1017" spans="1:7" x14ac:dyDescent="0.25">
      <c r="A1017" s="1">
        <v>45212</v>
      </c>
      <c r="B1017">
        <v>2023</v>
      </c>
      <c r="C1017" s="1">
        <v>45207</v>
      </c>
      <c r="D1017" s="1">
        <v>45208</v>
      </c>
      <c r="E1017" t="s">
        <v>154</v>
      </c>
      <c r="F1017">
        <v>7</v>
      </c>
      <c r="G1017" t="s">
        <v>168</v>
      </c>
    </row>
    <row r="1018" spans="1:7" x14ac:dyDescent="0.25">
      <c r="A1018" s="1">
        <v>45213</v>
      </c>
      <c r="B1018">
        <v>2023</v>
      </c>
      <c r="C1018" s="1">
        <v>45207</v>
      </c>
      <c r="D1018" s="1">
        <v>45208</v>
      </c>
      <c r="E1018" t="s">
        <v>154</v>
      </c>
      <c r="F1018">
        <v>7</v>
      </c>
      <c r="G1018" t="s">
        <v>169</v>
      </c>
    </row>
    <row r="1019" spans="1:7" x14ac:dyDescent="0.25">
      <c r="A1019" s="1">
        <v>45214</v>
      </c>
      <c r="B1019">
        <v>2023</v>
      </c>
      <c r="C1019" s="1">
        <v>45214</v>
      </c>
      <c r="D1019" s="1">
        <v>45208</v>
      </c>
      <c r="E1019" t="s">
        <v>154</v>
      </c>
      <c r="F1019">
        <v>7</v>
      </c>
      <c r="G1019" t="s">
        <v>170</v>
      </c>
    </row>
    <row r="1020" spans="1:7" x14ac:dyDescent="0.25">
      <c r="A1020" s="1">
        <v>45215</v>
      </c>
      <c r="B1020">
        <v>2023</v>
      </c>
      <c r="C1020" s="1">
        <v>45214</v>
      </c>
      <c r="D1020" s="1">
        <v>45215</v>
      </c>
      <c r="E1020" t="s">
        <v>155</v>
      </c>
      <c r="F1020">
        <v>8</v>
      </c>
      <c r="G1020" t="s">
        <v>171</v>
      </c>
    </row>
    <row r="1021" spans="1:7" x14ac:dyDescent="0.25">
      <c r="A1021" s="1">
        <v>45216</v>
      </c>
      <c r="B1021">
        <v>2023</v>
      </c>
      <c r="C1021" s="1">
        <v>45214</v>
      </c>
      <c r="D1021" s="1">
        <v>45215</v>
      </c>
      <c r="E1021" t="s">
        <v>155</v>
      </c>
      <c r="F1021">
        <v>8</v>
      </c>
      <c r="G1021" t="s">
        <v>172</v>
      </c>
    </row>
    <row r="1022" spans="1:7" x14ac:dyDescent="0.25">
      <c r="A1022" s="1">
        <v>45217</v>
      </c>
      <c r="B1022">
        <v>2023</v>
      </c>
      <c r="C1022" s="1">
        <v>45214</v>
      </c>
      <c r="D1022" s="1">
        <v>45215</v>
      </c>
      <c r="E1022" t="s">
        <v>155</v>
      </c>
      <c r="F1022">
        <v>8</v>
      </c>
      <c r="G1022" t="s">
        <v>173</v>
      </c>
    </row>
    <row r="1023" spans="1:7" x14ac:dyDescent="0.25">
      <c r="A1023" s="1">
        <v>45218</v>
      </c>
      <c r="B1023">
        <v>2023</v>
      </c>
      <c r="C1023" s="1">
        <v>45214</v>
      </c>
      <c r="D1023" s="1">
        <v>45215</v>
      </c>
      <c r="E1023" t="s">
        <v>155</v>
      </c>
      <c r="F1023">
        <v>8</v>
      </c>
      <c r="G1023" t="s">
        <v>174</v>
      </c>
    </row>
    <row r="1024" spans="1:7" x14ac:dyDescent="0.25">
      <c r="A1024" s="1">
        <v>45219</v>
      </c>
      <c r="B1024">
        <v>2023</v>
      </c>
      <c r="C1024" s="1">
        <v>45214</v>
      </c>
      <c r="D1024" s="1">
        <v>45215</v>
      </c>
      <c r="E1024" t="s">
        <v>155</v>
      </c>
      <c r="F1024">
        <v>8</v>
      </c>
      <c r="G1024" t="s">
        <v>168</v>
      </c>
    </row>
    <row r="1025" spans="1:7" x14ac:dyDescent="0.25">
      <c r="A1025" s="1">
        <v>45220</v>
      </c>
      <c r="B1025">
        <v>2023</v>
      </c>
      <c r="C1025" s="1">
        <v>45214</v>
      </c>
      <c r="D1025" s="1">
        <v>45215</v>
      </c>
      <c r="E1025" t="s">
        <v>155</v>
      </c>
      <c r="F1025">
        <v>8</v>
      </c>
      <c r="G1025" t="s">
        <v>169</v>
      </c>
    </row>
    <row r="1026" spans="1:7" x14ac:dyDescent="0.25">
      <c r="A1026" s="1">
        <v>45221</v>
      </c>
      <c r="B1026">
        <v>2023</v>
      </c>
      <c r="C1026" s="1">
        <v>45221</v>
      </c>
      <c r="D1026" s="1">
        <v>45215</v>
      </c>
      <c r="E1026" t="s">
        <v>155</v>
      </c>
      <c r="F1026">
        <v>8</v>
      </c>
      <c r="G1026" t="s">
        <v>170</v>
      </c>
    </row>
    <row r="1027" spans="1:7" x14ac:dyDescent="0.25">
      <c r="A1027" s="1">
        <v>45222</v>
      </c>
      <c r="B1027">
        <v>2023</v>
      </c>
      <c r="C1027" s="1">
        <v>45221</v>
      </c>
      <c r="D1027" s="1">
        <v>45222</v>
      </c>
      <c r="E1027" t="s">
        <v>156</v>
      </c>
      <c r="F1027">
        <v>9</v>
      </c>
      <c r="G1027" t="s">
        <v>171</v>
      </c>
    </row>
    <row r="1028" spans="1:7" x14ac:dyDescent="0.25">
      <c r="A1028" s="1">
        <v>45223</v>
      </c>
      <c r="B1028">
        <v>2023</v>
      </c>
      <c r="C1028" s="1">
        <v>45221</v>
      </c>
      <c r="D1028" s="1">
        <v>45222</v>
      </c>
      <c r="E1028" t="s">
        <v>156</v>
      </c>
      <c r="F1028">
        <v>9</v>
      </c>
      <c r="G1028" t="s">
        <v>172</v>
      </c>
    </row>
    <row r="1029" spans="1:7" x14ac:dyDescent="0.25">
      <c r="A1029" s="1">
        <v>45224</v>
      </c>
      <c r="B1029">
        <v>2023</v>
      </c>
      <c r="C1029" s="1">
        <v>45221</v>
      </c>
      <c r="D1029" s="1">
        <v>45222</v>
      </c>
      <c r="E1029" t="s">
        <v>156</v>
      </c>
      <c r="F1029">
        <v>9</v>
      </c>
      <c r="G1029" t="s">
        <v>173</v>
      </c>
    </row>
    <row r="1030" spans="1:7" x14ac:dyDescent="0.25">
      <c r="A1030" s="1">
        <v>45225</v>
      </c>
      <c r="B1030">
        <v>2023</v>
      </c>
      <c r="C1030" s="1">
        <v>45221</v>
      </c>
      <c r="D1030" s="1">
        <v>45222</v>
      </c>
      <c r="E1030" t="s">
        <v>156</v>
      </c>
      <c r="F1030">
        <v>9</v>
      </c>
      <c r="G1030" t="s">
        <v>174</v>
      </c>
    </row>
    <row r="1031" spans="1:7" x14ac:dyDescent="0.25">
      <c r="A1031" s="1">
        <v>45226</v>
      </c>
      <c r="B1031">
        <v>2023</v>
      </c>
      <c r="C1031" s="1">
        <v>45221</v>
      </c>
      <c r="D1031" s="1">
        <v>45222</v>
      </c>
      <c r="E1031" t="s">
        <v>156</v>
      </c>
      <c r="F1031">
        <v>9</v>
      </c>
      <c r="G1031" t="s">
        <v>168</v>
      </c>
    </row>
    <row r="1032" spans="1:7" x14ac:dyDescent="0.25">
      <c r="A1032" s="1">
        <v>45227</v>
      </c>
      <c r="B1032">
        <v>2023</v>
      </c>
      <c r="C1032" s="1">
        <v>45221</v>
      </c>
      <c r="D1032" s="1">
        <v>45222</v>
      </c>
      <c r="E1032" t="s">
        <v>156</v>
      </c>
      <c r="F1032">
        <v>9</v>
      </c>
      <c r="G1032" t="s">
        <v>169</v>
      </c>
    </row>
    <row r="1033" spans="1:7" x14ac:dyDescent="0.25">
      <c r="A1033" s="1">
        <v>45228</v>
      </c>
      <c r="B1033">
        <v>2023</v>
      </c>
      <c r="C1033" s="1">
        <v>45228</v>
      </c>
      <c r="D1033" s="1">
        <v>45222</v>
      </c>
      <c r="E1033" t="s">
        <v>156</v>
      </c>
      <c r="F1033">
        <v>9</v>
      </c>
      <c r="G1033" t="s">
        <v>170</v>
      </c>
    </row>
    <row r="1034" spans="1:7" x14ac:dyDescent="0.25">
      <c r="A1034" s="1">
        <v>45229</v>
      </c>
      <c r="B1034">
        <v>2023</v>
      </c>
      <c r="C1034" s="1">
        <v>45228</v>
      </c>
      <c r="D1034" s="1">
        <v>45229</v>
      </c>
      <c r="E1034" t="s">
        <v>157</v>
      </c>
      <c r="F1034">
        <v>10</v>
      </c>
      <c r="G1034" t="s">
        <v>171</v>
      </c>
    </row>
    <row r="1035" spans="1:7" x14ac:dyDescent="0.25">
      <c r="A1035" s="1">
        <v>45230</v>
      </c>
      <c r="B1035">
        <v>2023</v>
      </c>
      <c r="C1035" s="1">
        <v>45228</v>
      </c>
      <c r="D1035" s="1">
        <v>45229</v>
      </c>
      <c r="E1035" t="s">
        <v>157</v>
      </c>
      <c r="F1035">
        <v>10</v>
      </c>
      <c r="G1035" t="s">
        <v>172</v>
      </c>
    </row>
    <row r="1036" spans="1:7" x14ac:dyDescent="0.25">
      <c r="A1036" s="1">
        <v>45231</v>
      </c>
      <c r="B1036">
        <v>2023</v>
      </c>
      <c r="C1036" s="1">
        <v>45228</v>
      </c>
      <c r="D1036" s="1">
        <v>45229</v>
      </c>
      <c r="E1036" t="s">
        <v>157</v>
      </c>
      <c r="F1036">
        <v>10</v>
      </c>
      <c r="G1036" t="s">
        <v>173</v>
      </c>
    </row>
    <row r="1037" spans="1:7" x14ac:dyDescent="0.25">
      <c r="A1037" s="1">
        <v>45232</v>
      </c>
      <c r="B1037">
        <v>2023</v>
      </c>
      <c r="C1037" s="1">
        <v>45228</v>
      </c>
      <c r="D1037" s="1">
        <v>45229</v>
      </c>
      <c r="E1037" t="s">
        <v>157</v>
      </c>
      <c r="F1037">
        <v>10</v>
      </c>
      <c r="G1037" t="s">
        <v>174</v>
      </c>
    </row>
    <row r="1038" spans="1:7" x14ac:dyDescent="0.25">
      <c r="A1038" s="1">
        <v>45233</v>
      </c>
      <c r="B1038">
        <v>2023</v>
      </c>
      <c r="C1038" s="1">
        <v>45228</v>
      </c>
      <c r="D1038" s="1">
        <v>45229</v>
      </c>
      <c r="E1038" t="s">
        <v>157</v>
      </c>
      <c r="F1038">
        <v>10</v>
      </c>
      <c r="G1038" t="s">
        <v>168</v>
      </c>
    </row>
    <row r="1039" spans="1:7" x14ac:dyDescent="0.25">
      <c r="A1039" s="1">
        <v>45234</v>
      </c>
      <c r="B1039">
        <v>2023</v>
      </c>
      <c r="C1039" s="1">
        <v>45228</v>
      </c>
      <c r="D1039" s="1">
        <v>45229</v>
      </c>
      <c r="E1039" t="s">
        <v>157</v>
      </c>
      <c r="F1039">
        <v>10</v>
      </c>
      <c r="G1039" t="s">
        <v>169</v>
      </c>
    </row>
    <row r="1040" spans="1:7" x14ac:dyDescent="0.25">
      <c r="A1040" s="1">
        <v>45235</v>
      </c>
      <c r="B1040">
        <v>2023</v>
      </c>
      <c r="C1040" s="1">
        <v>45235</v>
      </c>
      <c r="D1040" s="1">
        <v>45229</v>
      </c>
      <c r="E1040" t="s">
        <v>157</v>
      </c>
      <c r="F1040">
        <v>10</v>
      </c>
      <c r="G1040" t="s">
        <v>170</v>
      </c>
    </row>
    <row r="1041" spans="1:7" x14ac:dyDescent="0.25">
      <c r="A1041" s="1">
        <v>45236</v>
      </c>
      <c r="B1041">
        <v>2023</v>
      </c>
      <c r="C1041" s="1">
        <v>45235</v>
      </c>
      <c r="D1041" s="1">
        <v>45236</v>
      </c>
      <c r="E1041" t="s">
        <v>158</v>
      </c>
      <c r="F1041">
        <v>11</v>
      </c>
      <c r="G1041" t="s">
        <v>171</v>
      </c>
    </row>
    <row r="1042" spans="1:7" x14ac:dyDescent="0.25">
      <c r="A1042" s="1">
        <v>45237</v>
      </c>
      <c r="B1042">
        <v>2023</v>
      </c>
      <c r="C1042" s="1">
        <v>45235</v>
      </c>
      <c r="D1042" s="1">
        <v>45236</v>
      </c>
      <c r="E1042" t="s">
        <v>158</v>
      </c>
      <c r="F1042">
        <v>11</v>
      </c>
      <c r="G1042" t="s">
        <v>172</v>
      </c>
    </row>
    <row r="1043" spans="1:7" x14ac:dyDescent="0.25">
      <c r="A1043" s="1">
        <v>45238</v>
      </c>
      <c r="B1043">
        <v>2023</v>
      </c>
      <c r="C1043" s="1">
        <v>45235</v>
      </c>
      <c r="D1043" s="1">
        <v>45236</v>
      </c>
      <c r="E1043" t="s">
        <v>158</v>
      </c>
      <c r="F1043">
        <v>11</v>
      </c>
      <c r="G1043" t="s">
        <v>173</v>
      </c>
    </row>
    <row r="1044" spans="1:7" x14ac:dyDescent="0.25">
      <c r="A1044" s="1">
        <v>45239</v>
      </c>
      <c r="B1044">
        <v>2023</v>
      </c>
      <c r="C1044" s="1">
        <v>45235</v>
      </c>
      <c r="D1044" s="1">
        <v>45236</v>
      </c>
      <c r="E1044" t="s">
        <v>158</v>
      </c>
      <c r="F1044">
        <v>11</v>
      </c>
      <c r="G1044" t="s">
        <v>174</v>
      </c>
    </row>
    <row r="1045" spans="1:7" x14ac:dyDescent="0.25">
      <c r="A1045" s="1">
        <v>45240</v>
      </c>
      <c r="B1045">
        <v>2023</v>
      </c>
      <c r="C1045" s="1">
        <v>45235</v>
      </c>
      <c r="D1045" s="1">
        <v>45236</v>
      </c>
      <c r="E1045" t="s">
        <v>158</v>
      </c>
      <c r="F1045">
        <v>11</v>
      </c>
      <c r="G1045" t="s">
        <v>168</v>
      </c>
    </row>
    <row r="1046" spans="1:7" x14ac:dyDescent="0.25">
      <c r="A1046" s="1">
        <v>45241</v>
      </c>
      <c r="B1046">
        <v>2023</v>
      </c>
      <c r="C1046" s="1">
        <v>45235</v>
      </c>
      <c r="D1046" s="1">
        <v>45236</v>
      </c>
      <c r="E1046" t="s">
        <v>158</v>
      </c>
      <c r="F1046">
        <v>11</v>
      </c>
      <c r="G1046" t="s">
        <v>169</v>
      </c>
    </row>
    <row r="1047" spans="1:7" x14ac:dyDescent="0.25">
      <c r="A1047" s="1">
        <v>45242</v>
      </c>
      <c r="B1047">
        <v>2023</v>
      </c>
      <c r="C1047" s="1">
        <v>45242</v>
      </c>
      <c r="D1047" s="1">
        <v>45236</v>
      </c>
      <c r="E1047" t="s">
        <v>158</v>
      </c>
      <c r="F1047">
        <v>11</v>
      </c>
      <c r="G1047" t="s">
        <v>170</v>
      </c>
    </row>
    <row r="1048" spans="1:7" x14ac:dyDescent="0.25">
      <c r="A1048" s="1">
        <v>45243</v>
      </c>
      <c r="B1048">
        <v>2023</v>
      </c>
      <c r="C1048" s="1">
        <v>45242</v>
      </c>
      <c r="D1048" s="1">
        <v>45243</v>
      </c>
      <c r="E1048" t="s">
        <v>159</v>
      </c>
      <c r="F1048">
        <v>12</v>
      </c>
      <c r="G1048" t="s">
        <v>171</v>
      </c>
    </row>
    <row r="1049" spans="1:7" x14ac:dyDescent="0.25">
      <c r="A1049" s="1">
        <v>45244</v>
      </c>
      <c r="B1049">
        <v>2023</v>
      </c>
      <c r="C1049" s="1">
        <v>45242</v>
      </c>
      <c r="D1049" s="1">
        <v>45243</v>
      </c>
      <c r="E1049" t="s">
        <v>159</v>
      </c>
      <c r="F1049">
        <v>12</v>
      </c>
      <c r="G1049" t="s">
        <v>172</v>
      </c>
    </row>
    <row r="1050" spans="1:7" x14ac:dyDescent="0.25">
      <c r="A1050" s="1">
        <v>45245</v>
      </c>
      <c r="B1050">
        <v>2023</v>
      </c>
      <c r="C1050" s="1">
        <v>45242</v>
      </c>
      <c r="D1050" s="1">
        <v>45243</v>
      </c>
      <c r="E1050" t="s">
        <v>159</v>
      </c>
      <c r="F1050">
        <v>12</v>
      </c>
      <c r="G1050" t="s">
        <v>173</v>
      </c>
    </row>
    <row r="1051" spans="1:7" x14ac:dyDescent="0.25">
      <c r="A1051" s="1">
        <v>45246</v>
      </c>
      <c r="B1051">
        <v>2023</v>
      </c>
      <c r="C1051" s="1">
        <v>45242</v>
      </c>
      <c r="D1051" s="1">
        <v>45243</v>
      </c>
      <c r="E1051" t="s">
        <v>159</v>
      </c>
      <c r="F1051">
        <v>12</v>
      </c>
      <c r="G1051" t="s">
        <v>174</v>
      </c>
    </row>
    <row r="1052" spans="1:7" x14ac:dyDescent="0.25">
      <c r="A1052" s="1">
        <v>45247</v>
      </c>
      <c r="B1052">
        <v>2023</v>
      </c>
      <c r="C1052" s="1">
        <v>45242</v>
      </c>
      <c r="D1052" s="1">
        <v>45243</v>
      </c>
      <c r="E1052" t="s">
        <v>159</v>
      </c>
      <c r="F1052">
        <v>12</v>
      </c>
      <c r="G1052" t="s">
        <v>168</v>
      </c>
    </row>
    <row r="1053" spans="1:7" x14ac:dyDescent="0.25">
      <c r="A1053" s="1">
        <v>45248</v>
      </c>
      <c r="B1053">
        <v>2023</v>
      </c>
      <c r="C1053" s="1">
        <v>45242</v>
      </c>
      <c r="D1053" s="1">
        <v>45243</v>
      </c>
      <c r="E1053" t="s">
        <v>159</v>
      </c>
      <c r="F1053">
        <v>12</v>
      </c>
      <c r="G1053" t="s">
        <v>169</v>
      </c>
    </row>
    <row r="1054" spans="1:7" x14ac:dyDescent="0.25">
      <c r="A1054" s="1">
        <v>45249</v>
      </c>
      <c r="B1054">
        <v>2023</v>
      </c>
      <c r="C1054" s="1">
        <v>45249</v>
      </c>
      <c r="D1054" s="1">
        <v>45243</v>
      </c>
      <c r="E1054" t="s">
        <v>159</v>
      </c>
      <c r="F1054">
        <v>12</v>
      </c>
      <c r="G1054" t="s">
        <v>170</v>
      </c>
    </row>
    <row r="1055" spans="1:7" x14ac:dyDescent="0.25">
      <c r="A1055" s="1">
        <v>45250</v>
      </c>
      <c r="B1055">
        <v>2023</v>
      </c>
      <c r="C1055" s="1">
        <v>45249</v>
      </c>
      <c r="D1055" s="1">
        <v>45250</v>
      </c>
      <c r="E1055" t="s">
        <v>160</v>
      </c>
      <c r="F1055">
        <v>13</v>
      </c>
      <c r="G1055" t="s">
        <v>171</v>
      </c>
    </row>
    <row r="1056" spans="1:7" x14ac:dyDescent="0.25">
      <c r="A1056" s="1">
        <v>45251</v>
      </c>
      <c r="B1056">
        <v>2023</v>
      </c>
      <c r="C1056" s="1">
        <v>45249</v>
      </c>
      <c r="D1056" s="1">
        <v>45250</v>
      </c>
      <c r="E1056" t="s">
        <v>160</v>
      </c>
      <c r="F1056">
        <v>13</v>
      </c>
      <c r="G1056" t="s">
        <v>172</v>
      </c>
    </row>
    <row r="1057" spans="1:7" x14ac:dyDescent="0.25">
      <c r="A1057" s="1">
        <v>45252</v>
      </c>
      <c r="B1057">
        <v>2023</v>
      </c>
      <c r="C1057" s="1">
        <v>45249</v>
      </c>
      <c r="D1057" s="1">
        <v>45250</v>
      </c>
      <c r="E1057" t="s">
        <v>160</v>
      </c>
      <c r="F1057">
        <v>13</v>
      </c>
      <c r="G1057" t="s">
        <v>173</v>
      </c>
    </row>
    <row r="1058" spans="1:7" x14ac:dyDescent="0.25">
      <c r="A1058" s="1">
        <v>45253</v>
      </c>
      <c r="B1058">
        <v>2023</v>
      </c>
      <c r="C1058" s="1">
        <v>45249</v>
      </c>
      <c r="D1058" s="1">
        <v>45250</v>
      </c>
      <c r="E1058" t="s">
        <v>160</v>
      </c>
      <c r="F1058">
        <v>13</v>
      </c>
      <c r="G1058" t="s">
        <v>174</v>
      </c>
    </row>
    <row r="1059" spans="1:7" x14ac:dyDescent="0.25">
      <c r="A1059" s="1">
        <v>45254</v>
      </c>
      <c r="B1059">
        <v>2023</v>
      </c>
      <c r="C1059" s="1">
        <v>45249</v>
      </c>
      <c r="D1059" s="1">
        <v>45250</v>
      </c>
      <c r="E1059" t="s">
        <v>160</v>
      </c>
      <c r="F1059">
        <v>13</v>
      </c>
      <c r="G1059" t="s">
        <v>168</v>
      </c>
    </row>
    <row r="1060" spans="1:7" x14ac:dyDescent="0.25">
      <c r="A1060" s="1">
        <v>45255</v>
      </c>
      <c r="B1060">
        <v>2023</v>
      </c>
      <c r="C1060" s="1">
        <v>45249</v>
      </c>
      <c r="D1060" s="1">
        <v>45250</v>
      </c>
      <c r="E1060" t="s">
        <v>160</v>
      </c>
      <c r="F1060">
        <v>13</v>
      </c>
      <c r="G1060" t="s">
        <v>169</v>
      </c>
    </row>
    <row r="1061" spans="1:7" x14ac:dyDescent="0.25">
      <c r="A1061" s="1">
        <v>45256</v>
      </c>
      <c r="B1061">
        <v>2023</v>
      </c>
      <c r="C1061" s="1">
        <v>45256</v>
      </c>
      <c r="D1061" s="1">
        <v>45250</v>
      </c>
      <c r="E1061" t="s">
        <v>160</v>
      </c>
      <c r="F1061">
        <v>13</v>
      </c>
      <c r="G1061" t="s">
        <v>170</v>
      </c>
    </row>
    <row r="1062" spans="1:7" x14ac:dyDescent="0.25">
      <c r="A1062" s="1">
        <v>45257</v>
      </c>
      <c r="B1062">
        <v>2023</v>
      </c>
      <c r="C1062" s="1">
        <v>45256</v>
      </c>
      <c r="D1062" s="1">
        <v>45257</v>
      </c>
      <c r="E1062" t="s">
        <v>161</v>
      </c>
      <c r="F1062">
        <v>14</v>
      </c>
      <c r="G1062" t="s">
        <v>171</v>
      </c>
    </row>
    <row r="1063" spans="1:7" x14ac:dyDescent="0.25">
      <c r="A1063" s="1">
        <v>45258</v>
      </c>
      <c r="B1063">
        <v>2023</v>
      </c>
      <c r="C1063" s="1">
        <v>45256</v>
      </c>
      <c r="D1063" s="1">
        <v>45257</v>
      </c>
      <c r="E1063" t="s">
        <v>161</v>
      </c>
      <c r="F1063">
        <v>14</v>
      </c>
      <c r="G1063" t="s">
        <v>172</v>
      </c>
    </row>
    <row r="1064" spans="1:7" x14ac:dyDescent="0.25">
      <c r="A1064" s="1">
        <v>45259</v>
      </c>
      <c r="B1064">
        <v>2023</v>
      </c>
      <c r="C1064" s="1">
        <v>45256</v>
      </c>
      <c r="D1064" s="1">
        <v>45257</v>
      </c>
      <c r="E1064" t="s">
        <v>161</v>
      </c>
      <c r="F1064">
        <v>14</v>
      </c>
      <c r="G1064" t="s">
        <v>173</v>
      </c>
    </row>
    <row r="1065" spans="1:7" x14ac:dyDescent="0.25">
      <c r="A1065" s="1">
        <v>45260</v>
      </c>
      <c r="B1065">
        <v>2023</v>
      </c>
      <c r="C1065" s="1">
        <v>45256</v>
      </c>
      <c r="D1065" s="1">
        <v>45257</v>
      </c>
      <c r="E1065" t="s">
        <v>161</v>
      </c>
      <c r="F1065">
        <v>14</v>
      </c>
      <c r="G1065" t="s">
        <v>174</v>
      </c>
    </row>
    <row r="1066" spans="1:7" x14ac:dyDescent="0.25">
      <c r="A1066" s="1">
        <v>45261</v>
      </c>
      <c r="B1066">
        <v>2023</v>
      </c>
      <c r="C1066" s="1">
        <v>45256</v>
      </c>
      <c r="D1066" s="1">
        <v>45257</v>
      </c>
      <c r="E1066" t="s">
        <v>161</v>
      </c>
      <c r="F1066">
        <v>14</v>
      </c>
      <c r="G1066" t="s">
        <v>168</v>
      </c>
    </row>
    <row r="1067" spans="1:7" x14ac:dyDescent="0.25">
      <c r="A1067" s="1">
        <v>45262</v>
      </c>
      <c r="B1067">
        <v>2023</v>
      </c>
      <c r="C1067" s="1">
        <v>45256</v>
      </c>
      <c r="D1067" s="1">
        <v>45257</v>
      </c>
      <c r="E1067" t="s">
        <v>161</v>
      </c>
      <c r="F1067">
        <v>14</v>
      </c>
      <c r="G1067" t="s">
        <v>169</v>
      </c>
    </row>
    <row r="1068" spans="1:7" x14ac:dyDescent="0.25">
      <c r="A1068" s="1">
        <v>45263</v>
      </c>
      <c r="B1068">
        <v>2023</v>
      </c>
      <c r="C1068" s="1">
        <v>45263</v>
      </c>
      <c r="D1068" s="1">
        <v>45257</v>
      </c>
      <c r="E1068" t="s">
        <v>161</v>
      </c>
      <c r="F1068">
        <v>14</v>
      </c>
      <c r="G1068" t="s">
        <v>170</v>
      </c>
    </row>
    <row r="1069" spans="1:7" x14ac:dyDescent="0.25">
      <c r="A1069" s="1">
        <v>45264</v>
      </c>
      <c r="B1069">
        <v>2023</v>
      </c>
      <c r="C1069" s="1">
        <v>45263</v>
      </c>
      <c r="D1069" s="1">
        <v>45264</v>
      </c>
      <c r="E1069" t="s">
        <v>162</v>
      </c>
      <c r="F1069">
        <v>15</v>
      </c>
      <c r="G1069" t="s">
        <v>171</v>
      </c>
    </row>
    <row r="1070" spans="1:7" x14ac:dyDescent="0.25">
      <c r="A1070" s="1">
        <v>45265</v>
      </c>
      <c r="B1070">
        <v>2023</v>
      </c>
      <c r="C1070" s="1">
        <v>45263</v>
      </c>
      <c r="D1070" s="1">
        <v>45264</v>
      </c>
      <c r="E1070" t="s">
        <v>162</v>
      </c>
      <c r="F1070">
        <v>15</v>
      </c>
      <c r="G1070" t="s">
        <v>172</v>
      </c>
    </row>
    <row r="1071" spans="1:7" x14ac:dyDescent="0.25">
      <c r="A1071" s="1">
        <v>45266</v>
      </c>
      <c r="B1071">
        <v>2023</v>
      </c>
      <c r="C1071" s="1">
        <v>45263</v>
      </c>
      <c r="D1071" s="1">
        <v>45264</v>
      </c>
      <c r="E1071" t="s">
        <v>162</v>
      </c>
      <c r="F1071">
        <v>15</v>
      </c>
      <c r="G1071" t="s">
        <v>173</v>
      </c>
    </row>
    <row r="1072" spans="1:7" x14ac:dyDescent="0.25">
      <c r="A1072" s="1">
        <v>45267</v>
      </c>
      <c r="B1072">
        <v>2023</v>
      </c>
      <c r="C1072" s="1">
        <v>45263</v>
      </c>
      <c r="D1072" s="1">
        <v>45264</v>
      </c>
      <c r="E1072" t="s">
        <v>162</v>
      </c>
      <c r="F1072">
        <v>15</v>
      </c>
      <c r="G1072" t="s">
        <v>174</v>
      </c>
    </row>
    <row r="1073" spans="1:7" x14ac:dyDescent="0.25">
      <c r="A1073" s="1">
        <v>45268</v>
      </c>
      <c r="B1073">
        <v>2023</v>
      </c>
      <c r="C1073" s="1">
        <v>45263</v>
      </c>
      <c r="D1073" s="1">
        <v>45264</v>
      </c>
      <c r="E1073" t="s">
        <v>162</v>
      </c>
      <c r="F1073">
        <v>15</v>
      </c>
      <c r="G1073" t="s">
        <v>168</v>
      </c>
    </row>
    <row r="1074" spans="1:7" x14ac:dyDescent="0.25">
      <c r="A1074" s="1">
        <v>45269</v>
      </c>
      <c r="B1074">
        <v>2023</v>
      </c>
      <c r="C1074" s="1">
        <v>45263</v>
      </c>
      <c r="D1074" s="1">
        <v>45264</v>
      </c>
      <c r="E1074" t="s">
        <v>162</v>
      </c>
      <c r="F1074">
        <v>15</v>
      </c>
      <c r="G1074" t="s">
        <v>169</v>
      </c>
    </row>
    <row r="1075" spans="1:7" x14ac:dyDescent="0.25">
      <c r="A1075" s="1">
        <v>45270</v>
      </c>
      <c r="B1075">
        <v>2023</v>
      </c>
      <c r="C1075" s="1">
        <v>45270</v>
      </c>
      <c r="D1075" s="1">
        <v>45264</v>
      </c>
      <c r="E1075" t="s">
        <v>162</v>
      </c>
      <c r="F1075">
        <v>15</v>
      </c>
      <c r="G1075" t="s">
        <v>170</v>
      </c>
    </row>
    <row r="1076" spans="1:7" x14ac:dyDescent="0.25">
      <c r="A1076" s="1">
        <v>45271</v>
      </c>
      <c r="B1076">
        <v>2023</v>
      </c>
      <c r="C1076" s="1">
        <v>45270</v>
      </c>
      <c r="D1076" s="1">
        <v>45271</v>
      </c>
      <c r="E1076" t="s">
        <v>163</v>
      </c>
      <c r="F1076">
        <v>16</v>
      </c>
      <c r="G1076" t="s">
        <v>171</v>
      </c>
    </row>
    <row r="1077" spans="1:7" x14ac:dyDescent="0.25">
      <c r="A1077" s="1">
        <v>45272</v>
      </c>
      <c r="B1077">
        <v>2023</v>
      </c>
      <c r="C1077" s="1">
        <v>45270</v>
      </c>
      <c r="D1077" s="1">
        <v>45271</v>
      </c>
      <c r="E1077" t="s">
        <v>163</v>
      </c>
      <c r="F1077">
        <v>16</v>
      </c>
      <c r="G1077" t="s">
        <v>172</v>
      </c>
    </row>
    <row r="1078" spans="1:7" x14ac:dyDescent="0.25">
      <c r="A1078" s="1">
        <v>45273</v>
      </c>
      <c r="B1078">
        <v>2023</v>
      </c>
      <c r="C1078" s="1">
        <v>45270</v>
      </c>
      <c r="D1078" s="1">
        <v>45271</v>
      </c>
      <c r="E1078" t="s">
        <v>163</v>
      </c>
      <c r="F1078">
        <v>16</v>
      </c>
      <c r="G1078" t="s">
        <v>173</v>
      </c>
    </row>
    <row r="1079" spans="1:7" x14ac:dyDescent="0.25">
      <c r="A1079" s="1">
        <v>45274</v>
      </c>
      <c r="B1079">
        <v>2023</v>
      </c>
      <c r="C1079" s="1">
        <v>45270</v>
      </c>
      <c r="D1079" s="1">
        <v>45271</v>
      </c>
      <c r="E1079" t="s">
        <v>163</v>
      </c>
      <c r="F1079">
        <v>16</v>
      </c>
      <c r="G1079" t="s">
        <v>174</v>
      </c>
    </row>
    <row r="1080" spans="1:7" x14ac:dyDescent="0.25">
      <c r="A1080" s="1">
        <v>45275</v>
      </c>
      <c r="B1080">
        <v>2023</v>
      </c>
      <c r="C1080" s="1">
        <v>45270</v>
      </c>
      <c r="D1080" s="1">
        <v>45271</v>
      </c>
      <c r="E1080" t="s">
        <v>163</v>
      </c>
      <c r="F1080">
        <v>16</v>
      </c>
      <c r="G1080" t="s">
        <v>168</v>
      </c>
    </row>
    <row r="1081" spans="1:7" x14ac:dyDescent="0.25">
      <c r="A1081" s="1">
        <v>45276</v>
      </c>
      <c r="B1081">
        <v>2023</v>
      </c>
      <c r="C1081" s="1">
        <v>45270</v>
      </c>
      <c r="D1081" s="1">
        <v>45271</v>
      </c>
      <c r="E1081" t="s">
        <v>163</v>
      </c>
      <c r="F1081">
        <v>16</v>
      </c>
      <c r="G1081" t="s">
        <v>169</v>
      </c>
    </row>
    <row r="1082" spans="1:7" x14ac:dyDescent="0.25">
      <c r="A1082" s="1">
        <v>45277</v>
      </c>
      <c r="B1082">
        <v>2023</v>
      </c>
      <c r="C1082" s="1">
        <v>45277</v>
      </c>
      <c r="D1082" s="1">
        <v>45271</v>
      </c>
      <c r="E1082" t="s">
        <v>163</v>
      </c>
      <c r="F1082">
        <v>16</v>
      </c>
      <c r="G1082" t="s">
        <v>170</v>
      </c>
    </row>
    <row r="1083" spans="1:7" x14ac:dyDescent="0.25">
      <c r="A1083" s="1">
        <v>45278</v>
      </c>
      <c r="B1083">
        <v>2023</v>
      </c>
      <c r="C1083" s="1">
        <v>45277</v>
      </c>
      <c r="D1083" s="1">
        <v>45278</v>
      </c>
      <c r="E1083" t="s">
        <v>164</v>
      </c>
      <c r="F1083">
        <v>17</v>
      </c>
      <c r="G1083" t="s">
        <v>171</v>
      </c>
    </row>
    <row r="1084" spans="1:7" x14ac:dyDescent="0.25">
      <c r="A1084" s="1">
        <v>45279</v>
      </c>
      <c r="B1084">
        <v>2023</v>
      </c>
      <c r="C1084" s="1">
        <v>45277</v>
      </c>
      <c r="D1084" s="1">
        <v>45278</v>
      </c>
      <c r="E1084" t="s">
        <v>164</v>
      </c>
      <c r="F1084">
        <v>17</v>
      </c>
      <c r="G1084" t="s">
        <v>172</v>
      </c>
    </row>
    <row r="1085" spans="1:7" x14ac:dyDescent="0.25">
      <c r="A1085" s="1">
        <v>45280</v>
      </c>
      <c r="B1085">
        <v>2023</v>
      </c>
      <c r="C1085" s="1">
        <v>45277</v>
      </c>
      <c r="D1085" s="1">
        <v>45278</v>
      </c>
      <c r="E1085" t="s">
        <v>164</v>
      </c>
      <c r="F1085">
        <v>17</v>
      </c>
      <c r="G1085" t="s">
        <v>173</v>
      </c>
    </row>
    <row r="1086" spans="1:7" x14ac:dyDescent="0.25">
      <c r="A1086" s="1">
        <v>45281</v>
      </c>
      <c r="B1086">
        <v>2023</v>
      </c>
      <c r="C1086" s="1">
        <v>45277</v>
      </c>
      <c r="D1086" s="1">
        <v>45278</v>
      </c>
      <c r="E1086" t="s">
        <v>164</v>
      </c>
      <c r="F1086">
        <v>17</v>
      </c>
      <c r="G1086" t="s">
        <v>174</v>
      </c>
    </row>
    <row r="1087" spans="1:7" x14ac:dyDescent="0.25">
      <c r="A1087" s="1">
        <v>45282</v>
      </c>
      <c r="B1087">
        <v>2023</v>
      </c>
      <c r="C1087" s="1">
        <v>45277</v>
      </c>
      <c r="D1087" s="1">
        <v>45278</v>
      </c>
      <c r="E1087" t="s">
        <v>164</v>
      </c>
      <c r="F1087">
        <v>17</v>
      </c>
      <c r="G1087" t="s">
        <v>168</v>
      </c>
    </row>
    <row r="1088" spans="1:7" x14ac:dyDescent="0.25">
      <c r="A1088" s="1">
        <v>45283</v>
      </c>
      <c r="B1088">
        <v>2023</v>
      </c>
      <c r="C1088" s="1">
        <v>45277</v>
      </c>
      <c r="D1088" s="1">
        <v>45278</v>
      </c>
      <c r="E1088" t="s">
        <v>164</v>
      </c>
      <c r="F1088">
        <v>17</v>
      </c>
      <c r="G1088" t="s">
        <v>169</v>
      </c>
    </row>
    <row r="1089" spans="1:7" x14ac:dyDescent="0.25">
      <c r="A1089" s="1">
        <v>45284</v>
      </c>
      <c r="B1089">
        <v>2023</v>
      </c>
      <c r="C1089" s="1">
        <v>45284</v>
      </c>
      <c r="D1089" s="1">
        <v>45278</v>
      </c>
      <c r="E1089" t="s">
        <v>164</v>
      </c>
      <c r="F1089">
        <v>17</v>
      </c>
      <c r="G1089" t="s">
        <v>170</v>
      </c>
    </row>
    <row r="1090" spans="1:7" x14ac:dyDescent="0.25">
      <c r="A1090" s="1">
        <v>45285</v>
      </c>
      <c r="B1090">
        <v>2023</v>
      </c>
      <c r="C1090" s="1">
        <v>45284</v>
      </c>
      <c r="D1090" s="1">
        <v>45285</v>
      </c>
      <c r="E1090" t="s">
        <v>165</v>
      </c>
      <c r="F1090">
        <v>18</v>
      </c>
      <c r="G1090" t="s">
        <v>171</v>
      </c>
    </row>
    <row r="1091" spans="1:7" x14ac:dyDescent="0.25">
      <c r="A1091" s="1">
        <v>45286</v>
      </c>
      <c r="B1091">
        <v>2023</v>
      </c>
      <c r="C1091" s="1">
        <v>45284</v>
      </c>
      <c r="D1091" s="1">
        <v>45285</v>
      </c>
      <c r="E1091" t="s">
        <v>165</v>
      </c>
      <c r="F1091">
        <v>18</v>
      </c>
      <c r="G1091" t="s">
        <v>172</v>
      </c>
    </row>
    <row r="1092" spans="1:7" x14ac:dyDescent="0.25">
      <c r="A1092" s="1">
        <v>45287</v>
      </c>
      <c r="B1092">
        <v>2023</v>
      </c>
      <c r="C1092" s="1">
        <v>45284</v>
      </c>
      <c r="D1092" s="1">
        <v>45285</v>
      </c>
      <c r="E1092" t="s">
        <v>165</v>
      </c>
      <c r="F1092">
        <v>18</v>
      </c>
      <c r="G1092" t="s">
        <v>173</v>
      </c>
    </row>
    <row r="1093" spans="1:7" x14ac:dyDescent="0.25">
      <c r="A1093" s="1">
        <v>45288</v>
      </c>
      <c r="B1093">
        <v>2023</v>
      </c>
      <c r="C1093" s="1">
        <v>45284</v>
      </c>
      <c r="D1093" s="1">
        <v>45285</v>
      </c>
      <c r="E1093" t="s">
        <v>165</v>
      </c>
      <c r="F1093">
        <v>18</v>
      </c>
      <c r="G1093" t="s">
        <v>174</v>
      </c>
    </row>
    <row r="1094" spans="1:7" x14ac:dyDescent="0.25">
      <c r="A1094" s="1">
        <v>45289</v>
      </c>
      <c r="B1094">
        <v>2023</v>
      </c>
      <c r="C1094" s="1">
        <v>45284</v>
      </c>
      <c r="D1094" s="1">
        <v>45285</v>
      </c>
      <c r="E1094" t="s">
        <v>165</v>
      </c>
      <c r="F1094">
        <v>18</v>
      </c>
      <c r="G1094" t="s">
        <v>168</v>
      </c>
    </row>
    <row r="1095" spans="1:7" x14ac:dyDescent="0.25">
      <c r="A1095" s="1">
        <v>45290</v>
      </c>
      <c r="B1095">
        <v>2023</v>
      </c>
      <c r="C1095" s="1">
        <v>45284</v>
      </c>
      <c r="D1095" s="1">
        <v>45285</v>
      </c>
      <c r="E1095" t="s">
        <v>165</v>
      </c>
      <c r="F1095">
        <v>18</v>
      </c>
      <c r="G1095" t="s">
        <v>169</v>
      </c>
    </row>
    <row r="1096" spans="1:7" x14ac:dyDescent="0.25">
      <c r="A1096" s="1">
        <v>45291</v>
      </c>
      <c r="B1096">
        <v>2023</v>
      </c>
      <c r="C1096" s="1">
        <v>45291</v>
      </c>
      <c r="D1096" s="1">
        <v>45285</v>
      </c>
      <c r="E1096" t="s">
        <v>165</v>
      </c>
      <c r="F1096">
        <v>18</v>
      </c>
      <c r="G1096" t="s">
        <v>170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3476C-DD55-492D-8F17-72E9FB6A9302}">
  <sheetPr codeName="Sheet5"/>
  <dimension ref="A1:I3"/>
  <sheetViews>
    <sheetView workbookViewId="0">
      <selection activeCell="F24" sqref="F24"/>
    </sheetView>
  </sheetViews>
  <sheetFormatPr defaultRowHeight="15" x14ac:dyDescent="0.25"/>
  <cols>
    <col min="3" max="3" width="22.140625" bestFit="1" customWidth="1"/>
    <col min="4" max="4" width="22.28515625" customWidth="1"/>
    <col min="7" max="7" width="12.85546875" bestFit="1" customWidth="1"/>
  </cols>
  <sheetData>
    <row r="1" spans="1:9" x14ac:dyDescent="0.25">
      <c r="A1" t="s">
        <v>321</v>
      </c>
      <c r="C1" t="s">
        <v>331</v>
      </c>
      <c r="D1" t="s">
        <v>333</v>
      </c>
      <c r="F1" t="s">
        <v>350</v>
      </c>
      <c r="G1" t="s">
        <v>377</v>
      </c>
      <c r="I1" t="s">
        <v>421</v>
      </c>
    </row>
    <row r="2" spans="1:9" x14ac:dyDescent="0.25">
      <c r="A2" t="s">
        <v>185</v>
      </c>
      <c r="C2" t="s">
        <v>332</v>
      </c>
      <c r="D2" t="s">
        <v>334</v>
      </c>
      <c r="F2" t="s">
        <v>347</v>
      </c>
      <c r="G2" t="s">
        <v>378</v>
      </c>
      <c r="I2" t="s">
        <v>422</v>
      </c>
    </row>
    <row r="3" spans="1:9" x14ac:dyDescent="0.25">
      <c r="A3" t="s">
        <v>191</v>
      </c>
      <c r="F3" t="s">
        <v>353</v>
      </c>
      <c r="I3" s="29" t="s">
        <v>335</v>
      </c>
    </row>
  </sheetData>
  <hyperlinks>
    <hyperlink ref="I3" r:id="rId1" xr:uid="{EFE9DD42-8797-4224-B107-805D629584E4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1C73F-02B4-4AA6-B3B7-97A826D5C8B4}">
  <sheetPr codeName="Sheet4"/>
  <dimension ref="A1:O436"/>
  <sheetViews>
    <sheetView topLeftCell="A312" workbookViewId="0">
      <selection activeCell="M313" sqref="M313:O461"/>
    </sheetView>
  </sheetViews>
  <sheetFormatPr defaultRowHeight="15" x14ac:dyDescent="0.25"/>
  <cols>
    <col min="1" max="1" width="41.28515625" style="10" bestFit="1" customWidth="1"/>
    <col min="2" max="3" width="8.85546875" style="10"/>
    <col min="4" max="4" width="13.140625" style="10" customWidth="1"/>
  </cols>
  <sheetData>
    <row r="1" spans="1:4" s="10" customFormat="1" x14ac:dyDescent="0.25">
      <c r="A1" s="10" t="s">
        <v>200</v>
      </c>
      <c r="B1" s="10">
        <v>34845</v>
      </c>
      <c r="C1" s="10">
        <v>1</v>
      </c>
      <c r="D1" s="1">
        <v>44647</v>
      </c>
    </row>
    <row r="2" spans="1:4" s="10" customFormat="1" x14ac:dyDescent="0.25">
      <c r="A2" s="10" t="s">
        <v>201</v>
      </c>
      <c r="B2" s="10">
        <v>49183</v>
      </c>
      <c r="C2" s="10">
        <v>2</v>
      </c>
      <c r="D2" s="1">
        <v>44647</v>
      </c>
    </row>
    <row r="3" spans="1:4" x14ac:dyDescent="0.25">
      <c r="A3" s="10" t="s">
        <v>200</v>
      </c>
      <c r="B3" s="10">
        <v>39120</v>
      </c>
      <c r="C3" s="10">
        <v>1</v>
      </c>
      <c r="D3" s="1">
        <v>44647</v>
      </c>
    </row>
    <row r="4" spans="1:4" x14ac:dyDescent="0.25">
      <c r="A4" s="10" t="s">
        <v>201</v>
      </c>
      <c r="B4" s="10">
        <v>58705</v>
      </c>
      <c r="C4" s="10">
        <v>2</v>
      </c>
      <c r="D4" s="1">
        <v>44647</v>
      </c>
    </row>
    <row r="5" spans="1:4" x14ac:dyDescent="0.25">
      <c r="A5" s="10" t="s">
        <v>202</v>
      </c>
      <c r="B5" s="10">
        <v>614</v>
      </c>
      <c r="C5" s="10">
        <v>3</v>
      </c>
      <c r="D5" s="1">
        <v>44647</v>
      </c>
    </row>
    <row r="6" spans="1:4" x14ac:dyDescent="0.25">
      <c r="A6" s="10" t="s">
        <v>203</v>
      </c>
      <c r="B6" s="10">
        <v>93</v>
      </c>
      <c r="C6" s="10">
        <v>4</v>
      </c>
      <c r="D6" s="1">
        <v>44647</v>
      </c>
    </row>
    <row r="7" spans="1:4" x14ac:dyDescent="0.25">
      <c r="A7" s="10" t="s">
        <v>204</v>
      </c>
      <c r="B7" s="10">
        <v>1225</v>
      </c>
      <c r="C7" s="10">
        <v>5</v>
      </c>
      <c r="D7" s="1">
        <v>44647</v>
      </c>
    </row>
    <row r="8" spans="1:4" x14ac:dyDescent="0.25">
      <c r="A8" s="10" t="s">
        <v>205</v>
      </c>
      <c r="B8" s="10">
        <v>283</v>
      </c>
      <c r="C8" s="10">
        <v>6</v>
      </c>
      <c r="D8" s="1">
        <v>44647</v>
      </c>
    </row>
    <row r="9" spans="1:4" x14ac:dyDescent="0.25">
      <c r="A9" s="10" t="s">
        <v>206</v>
      </c>
      <c r="B9" s="10">
        <v>226</v>
      </c>
      <c r="C9" s="10">
        <v>7</v>
      </c>
      <c r="D9" s="1">
        <v>44647</v>
      </c>
    </row>
    <row r="10" spans="1:4" x14ac:dyDescent="0.25">
      <c r="A10" s="10" t="s">
        <v>207</v>
      </c>
      <c r="B10" s="10">
        <v>999</v>
      </c>
      <c r="C10" s="10">
        <v>8</v>
      </c>
      <c r="D10" s="1">
        <v>44647</v>
      </c>
    </row>
    <row r="11" spans="1:4" x14ac:dyDescent="0.25">
      <c r="A11" s="10" t="s">
        <v>208</v>
      </c>
      <c r="B11" s="10">
        <v>16766</v>
      </c>
      <c r="C11" s="10">
        <v>9</v>
      </c>
      <c r="D11" s="1">
        <v>44647</v>
      </c>
    </row>
    <row r="12" spans="1:4" x14ac:dyDescent="0.25">
      <c r="A12" s="10" t="s">
        <v>209</v>
      </c>
      <c r="B12" s="10">
        <v>7947</v>
      </c>
      <c r="C12" s="10">
        <v>10</v>
      </c>
      <c r="D12" s="1">
        <v>44647</v>
      </c>
    </row>
    <row r="13" spans="1:4" x14ac:dyDescent="0.25">
      <c r="A13" s="10" t="s">
        <v>210</v>
      </c>
      <c r="B13" s="10">
        <v>14419</v>
      </c>
      <c r="C13" s="10">
        <v>11</v>
      </c>
      <c r="D13" s="1">
        <v>44647</v>
      </c>
    </row>
    <row r="14" spans="1:4" x14ac:dyDescent="0.25">
      <c r="A14" s="10" t="s">
        <v>211</v>
      </c>
      <c r="B14" s="10">
        <v>22822</v>
      </c>
      <c r="C14" s="10">
        <v>12</v>
      </c>
      <c r="D14" s="1">
        <v>44647</v>
      </c>
    </row>
    <row r="15" spans="1:4" x14ac:dyDescent="0.25">
      <c r="A15" s="10" t="s">
        <v>212</v>
      </c>
      <c r="B15" s="10">
        <v>13058</v>
      </c>
      <c r="C15" s="10">
        <v>13</v>
      </c>
      <c r="D15" s="1">
        <v>44647</v>
      </c>
    </row>
    <row r="16" spans="1:4" x14ac:dyDescent="0.25">
      <c r="A16" s="10" t="s">
        <v>213</v>
      </c>
      <c r="B16" s="10">
        <v>22835</v>
      </c>
      <c r="C16" s="10">
        <v>14</v>
      </c>
      <c r="D16" s="1">
        <v>44647</v>
      </c>
    </row>
    <row r="17" spans="1:4" x14ac:dyDescent="0.25">
      <c r="A17" s="10" t="s">
        <v>214</v>
      </c>
      <c r="B17" s="10">
        <v>517</v>
      </c>
      <c r="C17" s="10">
        <v>15</v>
      </c>
      <c r="D17" s="1">
        <v>44647</v>
      </c>
    </row>
    <row r="18" spans="1:4" x14ac:dyDescent="0.25">
      <c r="A18" s="10" t="s">
        <v>215</v>
      </c>
      <c r="B18" s="10">
        <v>424</v>
      </c>
      <c r="C18" s="10">
        <v>16</v>
      </c>
      <c r="D18" s="1">
        <v>44647</v>
      </c>
    </row>
    <row r="19" spans="1:4" x14ac:dyDescent="0.25">
      <c r="A19" s="10" t="s">
        <v>216</v>
      </c>
      <c r="B19" s="10">
        <v>395</v>
      </c>
      <c r="C19" s="10">
        <v>17</v>
      </c>
      <c r="D19" s="1">
        <v>44647</v>
      </c>
    </row>
    <row r="20" spans="1:4" x14ac:dyDescent="0.25">
      <c r="A20" s="10" t="s">
        <v>217</v>
      </c>
      <c r="B20" s="10">
        <v>226</v>
      </c>
      <c r="C20" s="10">
        <v>18</v>
      </c>
      <c r="D20" s="1">
        <v>44647</v>
      </c>
    </row>
    <row r="21" spans="1:4" x14ac:dyDescent="0.25">
      <c r="A21" s="10" t="s">
        <v>218</v>
      </c>
      <c r="B21" s="10">
        <v>388</v>
      </c>
      <c r="C21" s="10">
        <v>19</v>
      </c>
      <c r="D21" s="1">
        <v>44647</v>
      </c>
    </row>
    <row r="22" spans="1:4" x14ac:dyDescent="0.25">
      <c r="A22" s="10" t="s">
        <v>219</v>
      </c>
      <c r="B22" s="10">
        <v>895</v>
      </c>
      <c r="C22" s="10">
        <v>20</v>
      </c>
      <c r="D22" s="1">
        <v>44647</v>
      </c>
    </row>
    <row r="23" spans="1:4" x14ac:dyDescent="0.25">
      <c r="A23" s="10" t="s">
        <v>220</v>
      </c>
      <c r="B23" s="10">
        <v>934</v>
      </c>
      <c r="C23" s="10">
        <v>21</v>
      </c>
      <c r="D23" s="1">
        <v>44647</v>
      </c>
    </row>
    <row r="24" spans="1:4" x14ac:dyDescent="0.25">
      <c r="A24" s="10" t="s">
        <v>221</v>
      </c>
      <c r="B24" s="10">
        <v>548</v>
      </c>
      <c r="C24" s="10">
        <v>22</v>
      </c>
      <c r="D24" s="1">
        <v>44647</v>
      </c>
    </row>
    <row r="25" spans="1:4" x14ac:dyDescent="0.25">
      <c r="A25" s="10" t="s">
        <v>222</v>
      </c>
      <c r="B25" s="10">
        <v>446</v>
      </c>
      <c r="C25" s="10">
        <v>23</v>
      </c>
      <c r="D25" s="1">
        <v>44647</v>
      </c>
    </row>
    <row r="26" spans="1:4" x14ac:dyDescent="0.25">
      <c r="A26" s="10" t="s">
        <v>223</v>
      </c>
      <c r="B26" s="10">
        <v>418</v>
      </c>
      <c r="C26" s="10">
        <v>24</v>
      </c>
      <c r="D26" s="1">
        <v>44647</v>
      </c>
    </row>
    <row r="27" spans="1:4" x14ac:dyDescent="0.25">
      <c r="A27" s="10" t="s">
        <v>224</v>
      </c>
      <c r="B27" s="10">
        <v>64</v>
      </c>
      <c r="C27" s="10">
        <v>25</v>
      </c>
      <c r="D27" s="1">
        <v>44647</v>
      </c>
    </row>
    <row r="28" spans="1:4" x14ac:dyDescent="0.25">
      <c r="A28" s="10" t="s">
        <v>225</v>
      </c>
      <c r="B28" s="10">
        <v>141</v>
      </c>
      <c r="C28" s="10">
        <v>26</v>
      </c>
      <c r="D28" s="1">
        <v>44647</v>
      </c>
    </row>
    <row r="29" spans="1:4" x14ac:dyDescent="0.25">
      <c r="A29" s="10" t="s">
        <v>226</v>
      </c>
      <c r="B29" s="10">
        <v>2</v>
      </c>
      <c r="C29" s="10">
        <v>27</v>
      </c>
      <c r="D29" s="1">
        <v>44647</v>
      </c>
    </row>
    <row r="30" spans="1:4" x14ac:dyDescent="0.25">
      <c r="A30" s="10" t="s">
        <v>227</v>
      </c>
      <c r="B30" s="10">
        <v>529</v>
      </c>
      <c r="C30" s="10">
        <v>28</v>
      </c>
      <c r="D30" s="1">
        <v>44647</v>
      </c>
    </row>
    <row r="31" spans="1:4" x14ac:dyDescent="0.25">
      <c r="A31" s="10" t="s">
        <v>228</v>
      </c>
      <c r="B31" s="10">
        <v>185</v>
      </c>
      <c r="C31" s="10">
        <v>29</v>
      </c>
      <c r="D31" s="1">
        <v>44647</v>
      </c>
    </row>
    <row r="32" spans="1:4" x14ac:dyDescent="0.25">
      <c r="A32" s="10" t="s">
        <v>229</v>
      </c>
      <c r="B32" s="10">
        <v>21</v>
      </c>
      <c r="C32" s="10">
        <v>30</v>
      </c>
      <c r="D32" s="1">
        <v>44647</v>
      </c>
    </row>
    <row r="33" spans="1:4" x14ac:dyDescent="0.25">
      <c r="A33" s="10" t="s">
        <v>230</v>
      </c>
      <c r="B33" s="10">
        <v>283</v>
      </c>
      <c r="C33" s="10">
        <v>31</v>
      </c>
      <c r="D33" s="1">
        <v>44647</v>
      </c>
    </row>
    <row r="34" spans="1:4" x14ac:dyDescent="0.25">
      <c r="A34" s="10" t="s">
        <v>231</v>
      </c>
      <c r="B34" s="10">
        <v>30</v>
      </c>
      <c r="C34" s="10">
        <v>32</v>
      </c>
      <c r="D34" s="1">
        <v>44647</v>
      </c>
    </row>
    <row r="35" spans="1:4" x14ac:dyDescent="0.25">
      <c r="A35" s="10" t="s">
        <v>232</v>
      </c>
      <c r="B35" s="10">
        <v>26</v>
      </c>
      <c r="C35" s="10">
        <v>33</v>
      </c>
      <c r="D35" s="1">
        <v>44647</v>
      </c>
    </row>
    <row r="36" spans="1:4" x14ac:dyDescent="0.25">
      <c r="A36" s="10" t="s">
        <v>233</v>
      </c>
      <c r="B36" s="10">
        <v>130</v>
      </c>
      <c r="C36" s="10">
        <v>34</v>
      </c>
      <c r="D36" s="1">
        <v>44647</v>
      </c>
    </row>
    <row r="37" spans="1:4" x14ac:dyDescent="0.25">
      <c r="A37" s="10" t="s">
        <v>234</v>
      </c>
      <c r="B37" s="10">
        <v>10</v>
      </c>
      <c r="C37" s="10">
        <v>35</v>
      </c>
      <c r="D37" s="1">
        <v>44647</v>
      </c>
    </row>
    <row r="38" spans="1:4" x14ac:dyDescent="0.25">
      <c r="A38" s="10" t="s">
        <v>235</v>
      </c>
      <c r="B38" s="10">
        <v>103</v>
      </c>
      <c r="C38" s="10">
        <v>36</v>
      </c>
      <c r="D38" s="1">
        <v>44647</v>
      </c>
    </row>
    <row r="39" spans="1:4" x14ac:dyDescent="0.25">
      <c r="A39" s="10" t="s">
        <v>236</v>
      </c>
      <c r="B39" s="10">
        <v>25</v>
      </c>
      <c r="C39" s="10">
        <v>37</v>
      </c>
      <c r="D39" s="1">
        <v>44647</v>
      </c>
    </row>
    <row r="40" spans="1:4" x14ac:dyDescent="0.25">
      <c r="A40" s="10" t="s">
        <v>237</v>
      </c>
      <c r="B40" s="10">
        <v>30</v>
      </c>
      <c r="C40" s="10">
        <v>38</v>
      </c>
      <c r="D40" s="1">
        <v>44647</v>
      </c>
    </row>
    <row r="41" spans="1:4" x14ac:dyDescent="0.25">
      <c r="A41" s="10" t="s">
        <v>238</v>
      </c>
      <c r="B41" s="10">
        <v>47</v>
      </c>
      <c r="C41" s="10">
        <v>39</v>
      </c>
      <c r="D41" s="1">
        <v>44647</v>
      </c>
    </row>
    <row r="42" spans="1:4" x14ac:dyDescent="0.25">
      <c r="A42" s="10" t="s">
        <v>239</v>
      </c>
      <c r="B42" s="10">
        <v>79</v>
      </c>
      <c r="C42" s="10">
        <v>40</v>
      </c>
      <c r="D42" s="1">
        <v>44647</v>
      </c>
    </row>
    <row r="43" spans="1:4" x14ac:dyDescent="0.25">
      <c r="A43" s="10" t="s">
        <v>240</v>
      </c>
      <c r="B43" s="10">
        <v>21</v>
      </c>
      <c r="C43" s="10">
        <v>41</v>
      </c>
      <c r="D43" s="1">
        <v>44647</v>
      </c>
    </row>
    <row r="44" spans="1:4" x14ac:dyDescent="0.25">
      <c r="A44" s="10" t="s">
        <v>241</v>
      </c>
      <c r="B44" s="10">
        <v>17</v>
      </c>
      <c r="C44" s="10">
        <v>42</v>
      </c>
      <c r="D44" s="1">
        <v>44647</v>
      </c>
    </row>
    <row r="45" spans="1:4" x14ac:dyDescent="0.25">
      <c r="A45" s="10" t="s">
        <v>242</v>
      </c>
      <c r="B45" s="10">
        <v>19</v>
      </c>
      <c r="C45" s="10">
        <v>43</v>
      </c>
      <c r="D45" s="1">
        <v>44647</v>
      </c>
    </row>
    <row r="46" spans="1:4" x14ac:dyDescent="0.25">
      <c r="A46" s="10" t="s">
        <v>243</v>
      </c>
      <c r="B46" s="10">
        <v>13</v>
      </c>
      <c r="C46" s="10">
        <v>44</v>
      </c>
      <c r="D46" s="1">
        <v>44647</v>
      </c>
    </row>
    <row r="47" spans="1:4" x14ac:dyDescent="0.25">
      <c r="A47" s="10" t="s">
        <v>244</v>
      </c>
      <c r="B47" s="10">
        <v>30</v>
      </c>
      <c r="C47" s="10">
        <v>45</v>
      </c>
      <c r="D47" s="1">
        <v>44647</v>
      </c>
    </row>
    <row r="48" spans="1:4" x14ac:dyDescent="0.25">
      <c r="A48" s="10" t="s">
        <v>245</v>
      </c>
      <c r="B48" s="10">
        <v>26</v>
      </c>
      <c r="C48" s="10">
        <v>46</v>
      </c>
      <c r="D48" s="1">
        <v>44647</v>
      </c>
    </row>
    <row r="49" spans="1:4" x14ac:dyDescent="0.25">
      <c r="A49" s="10" t="s">
        <v>246</v>
      </c>
      <c r="B49" s="10">
        <v>18</v>
      </c>
      <c r="C49" s="10">
        <v>47</v>
      </c>
      <c r="D49" s="1">
        <v>44647</v>
      </c>
    </row>
    <row r="50" spans="1:4" x14ac:dyDescent="0.25">
      <c r="A50" s="10" t="s">
        <v>247</v>
      </c>
      <c r="B50" s="10">
        <v>27</v>
      </c>
      <c r="C50" s="10">
        <v>48</v>
      </c>
      <c r="D50" s="1">
        <v>44647</v>
      </c>
    </row>
    <row r="51" spans="1:4" x14ac:dyDescent="0.25">
      <c r="A51" s="10" t="s">
        <v>248</v>
      </c>
      <c r="B51" s="10">
        <v>52</v>
      </c>
      <c r="C51" s="10">
        <v>49</v>
      </c>
      <c r="D51" s="1">
        <v>44647</v>
      </c>
    </row>
    <row r="52" spans="1:4" x14ac:dyDescent="0.25">
      <c r="A52" s="10" t="s">
        <v>249</v>
      </c>
      <c r="B52" s="10">
        <v>32</v>
      </c>
      <c r="C52" s="10">
        <v>50</v>
      </c>
      <c r="D52" s="1">
        <v>44647</v>
      </c>
    </row>
    <row r="53" spans="1:4" x14ac:dyDescent="0.25">
      <c r="A53" s="10" t="s">
        <v>250</v>
      </c>
      <c r="B53" s="10">
        <v>30</v>
      </c>
      <c r="C53" s="10">
        <v>51</v>
      </c>
      <c r="D53" s="1">
        <v>44647</v>
      </c>
    </row>
    <row r="54" spans="1:4" x14ac:dyDescent="0.25">
      <c r="A54" s="10" t="s">
        <v>251</v>
      </c>
      <c r="B54" s="10">
        <v>37</v>
      </c>
      <c r="C54" s="10">
        <v>52</v>
      </c>
      <c r="D54" s="1">
        <v>44647</v>
      </c>
    </row>
    <row r="55" spans="1:4" x14ac:dyDescent="0.25">
      <c r="A55" s="10" t="s">
        <v>252</v>
      </c>
      <c r="B55" s="10">
        <v>36</v>
      </c>
      <c r="C55" s="10">
        <v>53</v>
      </c>
      <c r="D55" s="1">
        <v>44647</v>
      </c>
    </row>
    <row r="56" spans="1:4" x14ac:dyDescent="0.25">
      <c r="A56" s="10" t="s">
        <v>253</v>
      </c>
      <c r="B56" s="10">
        <v>40</v>
      </c>
      <c r="C56" s="10">
        <v>54</v>
      </c>
      <c r="D56" s="1">
        <v>44647</v>
      </c>
    </row>
    <row r="57" spans="1:4" x14ac:dyDescent="0.25">
      <c r="A57" s="10" t="s">
        <v>254</v>
      </c>
      <c r="B57" s="10">
        <v>56</v>
      </c>
      <c r="C57" s="10">
        <v>55</v>
      </c>
      <c r="D57" s="1">
        <v>44647</v>
      </c>
    </row>
    <row r="58" spans="1:4" x14ac:dyDescent="0.25">
      <c r="A58" s="10" t="s">
        <v>255</v>
      </c>
      <c r="B58" s="10">
        <v>401</v>
      </c>
      <c r="C58" s="10">
        <v>56</v>
      </c>
      <c r="D58" s="1">
        <v>44647</v>
      </c>
    </row>
    <row r="59" spans="1:4" x14ac:dyDescent="0.25">
      <c r="A59" s="10" t="s">
        <v>256</v>
      </c>
      <c r="B59" s="10">
        <v>223</v>
      </c>
      <c r="C59" s="10">
        <v>57</v>
      </c>
      <c r="D59" s="1">
        <v>44647</v>
      </c>
    </row>
    <row r="60" spans="1:4" x14ac:dyDescent="0.25">
      <c r="A60" s="10" t="s">
        <v>257</v>
      </c>
      <c r="B60" s="10">
        <v>310</v>
      </c>
      <c r="C60" s="10">
        <v>58</v>
      </c>
      <c r="D60" s="1">
        <v>44647</v>
      </c>
    </row>
    <row r="61" spans="1:4" x14ac:dyDescent="0.25">
      <c r="A61" s="10" t="s">
        <v>258</v>
      </c>
      <c r="B61" s="10">
        <v>0</v>
      </c>
      <c r="C61" s="10">
        <v>59</v>
      </c>
      <c r="D61" s="1">
        <v>44647</v>
      </c>
    </row>
    <row r="62" spans="1:4" x14ac:dyDescent="0.25">
      <c r="A62" s="10" t="s">
        <v>259</v>
      </c>
      <c r="B62" s="10">
        <v>313</v>
      </c>
      <c r="C62" s="10">
        <v>60</v>
      </c>
      <c r="D62" s="1">
        <v>44647</v>
      </c>
    </row>
    <row r="63" spans="1:4" x14ac:dyDescent="0.25">
      <c r="A63" s="10" t="s">
        <v>260</v>
      </c>
      <c r="B63" s="10">
        <v>0</v>
      </c>
      <c r="C63" s="10">
        <v>61</v>
      </c>
      <c r="D63" s="1">
        <v>44647</v>
      </c>
    </row>
    <row r="64" spans="1:4" x14ac:dyDescent="0.25">
      <c r="A64" s="10" t="s">
        <v>261</v>
      </c>
      <c r="B64" s="10">
        <v>0</v>
      </c>
      <c r="C64" s="10">
        <v>62</v>
      </c>
      <c r="D64" s="1">
        <v>44647</v>
      </c>
    </row>
    <row r="65" spans="1:4" x14ac:dyDescent="0.25">
      <c r="A65" s="10" t="s">
        <v>262</v>
      </c>
      <c r="B65" s="10">
        <v>234</v>
      </c>
      <c r="C65" s="10">
        <v>63</v>
      </c>
      <c r="D65" s="1">
        <v>44647</v>
      </c>
    </row>
    <row r="66" spans="1:4" x14ac:dyDescent="0.25">
      <c r="A66" s="10" t="s">
        <v>263</v>
      </c>
      <c r="B66" s="10">
        <v>0</v>
      </c>
      <c r="C66" s="10">
        <v>64</v>
      </c>
      <c r="D66" s="1">
        <v>44647</v>
      </c>
    </row>
    <row r="67" spans="1:4" x14ac:dyDescent="0.25">
      <c r="A67" s="10" t="s">
        <v>264</v>
      </c>
      <c r="B67" s="10">
        <v>0</v>
      </c>
      <c r="C67" s="10">
        <v>65</v>
      </c>
      <c r="D67" s="1">
        <v>44647</v>
      </c>
    </row>
    <row r="68" spans="1:4" x14ac:dyDescent="0.25">
      <c r="A68" s="10" t="s">
        <v>265</v>
      </c>
      <c r="B68" s="10">
        <v>0</v>
      </c>
      <c r="C68" s="10">
        <v>66</v>
      </c>
      <c r="D68" s="1">
        <v>44647</v>
      </c>
    </row>
    <row r="69" spans="1:4" x14ac:dyDescent="0.25">
      <c r="A69" s="10" t="s">
        <v>266</v>
      </c>
      <c r="B69" s="10">
        <v>0</v>
      </c>
      <c r="C69" s="10">
        <v>67</v>
      </c>
      <c r="D69" s="1">
        <v>44647</v>
      </c>
    </row>
    <row r="70" spans="1:4" x14ac:dyDescent="0.25">
      <c r="A70" s="10" t="s">
        <v>267</v>
      </c>
      <c r="B70" s="10">
        <v>0</v>
      </c>
      <c r="C70" s="10">
        <v>68</v>
      </c>
      <c r="D70" s="1">
        <v>44647</v>
      </c>
    </row>
    <row r="71" spans="1:4" x14ac:dyDescent="0.25">
      <c r="A71" s="10" t="s">
        <v>268</v>
      </c>
      <c r="B71" s="10">
        <v>0</v>
      </c>
      <c r="C71" s="10">
        <v>69</v>
      </c>
      <c r="D71" s="1">
        <v>44647</v>
      </c>
    </row>
    <row r="72" spans="1:4" x14ac:dyDescent="0.25">
      <c r="A72" s="10" t="s">
        <v>269</v>
      </c>
      <c r="B72" s="10">
        <v>0</v>
      </c>
      <c r="C72" s="10">
        <v>70</v>
      </c>
      <c r="D72" s="1">
        <v>44647</v>
      </c>
    </row>
    <row r="73" spans="1:4" x14ac:dyDescent="0.25">
      <c r="A73" s="10" t="s">
        <v>270</v>
      </c>
      <c r="B73" s="10">
        <v>0</v>
      </c>
      <c r="C73" s="10">
        <v>71</v>
      </c>
      <c r="D73" s="1">
        <v>44647</v>
      </c>
    </row>
    <row r="74" spans="1:4" x14ac:dyDescent="0.25">
      <c r="A74" s="10" t="s">
        <v>271</v>
      </c>
      <c r="B74" s="10">
        <v>0</v>
      </c>
      <c r="C74" s="10">
        <v>72</v>
      </c>
      <c r="D74" s="1">
        <v>44647</v>
      </c>
    </row>
    <row r="75" spans="1:4" x14ac:dyDescent="0.25">
      <c r="A75" s="10" t="s">
        <v>272</v>
      </c>
      <c r="B75" s="10">
        <v>0</v>
      </c>
      <c r="C75" s="10">
        <v>73</v>
      </c>
      <c r="D75" s="1">
        <v>44647</v>
      </c>
    </row>
    <row r="76" spans="1:4" x14ac:dyDescent="0.25">
      <c r="A76" s="10" t="s">
        <v>273</v>
      </c>
      <c r="B76" s="10">
        <v>0</v>
      </c>
      <c r="C76" s="10">
        <v>74</v>
      </c>
      <c r="D76" s="1">
        <v>44647</v>
      </c>
    </row>
    <row r="77" spans="1:4" x14ac:dyDescent="0.25">
      <c r="A77" s="10" t="s">
        <v>274</v>
      </c>
      <c r="B77" s="10">
        <v>100</v>
      </c>
      <c r="C77" s="10">
        <v>75</v>
      </c>
      <c r="D77" s="1">
        <v>44647</v>
      </c>
    </row>
    <row r="78" spans="1:4" x14ac:dyDescent="0.25">
      <c r="A78" s="10" t="s">
        <v>275</v>
      </c>
      <c r="B78" s="10">
        <v>64</v>
      </c>
      <c r="C78" s="10">
        <v>76</v>
      </c>
      <c r="D78" s="1">
        <v>44647</v>
      </c>
    </row>
    <row r="79" spans="1:4" x14ac:dyDescent="0.25">
      <c r="A79" s="10" t="s">
        <v>276</v>
      </c>
      <c r="B79" s="10">
        <v>0</v>
      </c>
      <c r="C79" s="10">
        <v>77</v>
      </c>
      <c r="D79" s="1">
        <v>44647</v>
      </c>
    </row>
    <row r="80" spans="1:4" x14ac:dyDescent="0.25">
      <c r="A80" s="10" t="s">
        <v>277</v>
      </c>
      <c r="B80" s="10">
        <v>0</v>
      </c>
      <c r="C80" s="10">
        <v>78</v>
      </c>
      <c r="D80" s="1">
        <v>44647</v>
      </c>
    </row>
    <row r="81" spans="1:4" x14ac:dyDescent="0.25">
      <c r="A81" s="10" t="s">
        <v>278</v>
      </c>
      <c r="B81" s="10">
        <v>0</v>
      </c>
      <c r="C81" s="10">
        <v>79</v>
      </c>
      <c r="D81" s="1">
        <v>44647</v>
      </c>
    </row>
    <row r="82" spans="1:4" x14ac:dyDescent="0.25">
      <c r="A82" s="10" t="s">
        <v>279</v>
      </c>
      <c r="B82" s="10">
        <v>0</v>
      </c>
      <c r="C82" s="10">
        <v>80</v>
      </c>
      <c r="D82" s="1">
        <v>44647</v>
      </c>
    </row>
    <row r="83" spans="1:4" x14ac:dyDescent="0.25">
      <c r="A83" s="10" t="s">
        <v>280</v>
      </c>
      <c r="B83" s="10">
        <v>514</v>
      </c>
      <c r="C83" s="10">
        <v>81</v>
      </c>
      <c r="D83" s="1">
        <v>44647</v>
      </c>
    </row>
    <row r="84" spans="1:4" x14ac:dyDescent="0.25">
      <c r="A84" s="10" t="s">
        <v>281</v>
      </c>
      <c r="B84" s="10">
        <v>1061</v>
      </c>
      <c r="C84" s="10">
        <v>82</v>
      </c>
      <c r="D84" s="10">
        <v>44647</v>
      </c>
    </row>
    <row r="85" spans="1:4" x14ac:dyDescent="0.25">
      <c r="A85" s="10" t="s">
        <v>282</v>
      </c>
      <c r="B85" s="10">
        <v>164</v>
      </c>
      <c r="C85" s="10">
        <v>83</v>
      </c>
      <c r="D85" s="10">
        <v>44647</v>
      </c>
    </row>
    <row r="86" spans="1:4" x14ac:dyDescent="0.25">
      <c r="A86" s="10" t="s">
        <v>279</v>
      </c>
      <c r="B86" s="10">
        <v>0</v>
      </c>
      <c r="C86" s="10">
        <v>84</v>
      </c>
      <c r="D86" s="10">
        <v>44647</v>
      </c>
    </row>
    <row r="87" spans="1:4" x14ac:dyDescent="0.25">
      <c r="A87" s="10" t="s">
        <v>200</v>
      </c>
      <c r="B87" s="10">
        <v>39120</v>
      </c>
      <c r="C87" s="10">
        <v>1</v>
      </c>
      <c r="D87" s="1">
        <v>44647</v>
      </c>
    </row>
    <row r="88" spans="1:4" x14ac:dyDescent="0.25">
      <c r="A88" s="10" t="s">
        <v>201</v>
      </c>
      <c r="B88" s="10">
        <v>58705</v>
      </c>
      <c r="C88" s="10">
        <v>2</v>
      </c>
      <c r="D88" s="1">
        <v>44647</v>
      </c>
    </row>
    <row r="89" spans="1:4" x14ac:dyDescent="0.25">
      <c r="A89" s="10" t="s">
        <v>202</v>
      </c>
      <c r="B89" s="10">
        <v>614</v>
      </c>
      <c r="C89" s="10">
        <v>3</v>
      </c>
      <c r="D89" s="1">
        <v>44647</v>
      </c>
    </row>
    <row r="90" spans="1:4" x14ac:dyDescent="0.25">
      <c r="A90" s="10" t="s">
        <v>203</v>
      </c>
      <c r="B90" s="10">
        <v>93</v>
      </c>
      <c r="C90" s="10">
        <v>4</v>
      </c>
      <c r="D90" s="1">
        <v>44647</v>
      </c>
    </row>
    <row r="91" spans="1:4" x14ac:dyDescent="0.25">
      <c r="A91" s="10" t="s">
        <v>204</v>
      </c>
      <c r="B91" s="10">
        <v>1225</v>
      </c>
      <c r="C91" s="10">
        <v>5</v>
      </c>
      <c r="D91" s="1">
        <v>44647</v>
      </c>
    </row>
    <row r="92" spans="1:4" x14ac:dyDescent="0.25">
      <c r="A92" s="10" t="s">
        <v>205</v>
      </c>
      <c r="B92" s="10">
        <v>283</v>
      </c>
      <c r="C92" s="10">
        <v>6</v>
      </c>
      <c r="D92" s="1">
        <v>44647</v>
      </c>
    </row>
    <row r="93" spans="1:4" x14ac:dyDescent="0.25">
      <c r="A93" s="10" t="s">
        <v>206</v>
      </c>
      <c r="B93" s="10">
        <v>226</v>
      </c>
      <c r="C93" s="10">
        <v>7</v>
      </c>
      <c r="D93" s="1">
        <v>44647</v>
      </c>
    </row>
    <row r="94" spans="1:4" x14ac:dyDescent="0.25">
      <c r="A94" s="10" t="s">
        <v>207</v>
      </c>
      <c r="B94" s="10">
        <v>999</v>
      </c>
      <c r="C94" s="10">
        <v>8</v>
      </c>
      <c r="D94" s="1">
        <v>44647</v>
      </c>
    </row>
    <row r="95" spans="1:4" x14ac:dyDescent="0.25">
      <c r="A95" s="10" t="s">
        <v>208</v>
      </c>
      <c r="B95" s="10">
        <v>16766</v>
      </c>
      <c r="C95" s="10">
        <v>9</v>
      </c>
      <c r="D95" s="1">
        <v>44647</v>
      </c>
    </row>
    <row r="96" spans="1:4" x14ac:dyDescent="0.25">
      <c r="A96" s="10" t="s">
        <v>209</v>
      </c>
      <c r="B96" s="10">
        <v>7947</v>
      </c>
      <c r="C96" s="10">
        <v>10</v>
      </c>
      <c r="D96" s="1">
        <v>44647</v>
      </c>
    </row>
    <row r="97" spans="1:4" x14ac:dyDescent="0.25">
      <c r="A97" s="10" t="s">
        <v>210</v>
      </c>
      <c r="B97" s="10">
        <v>14419</v>
      </c>
      <c r="C97" s="10">
        <v>11</v>
      </c>
      <c r="D97" s="1">
        <v>44647</v>
      </c>
    </row>
    <row r="98" spans="1:4" x14ac:dyDescent="0.25">
      <c r="A98" s="10" t="s">
        <v>211</v>
      </c>
      <c r="B98" s="10">
        <v>22822</v>
      </c>
      <c r="C98" s="10">
        <v>12</v>
      </c>
      <c r="D98" s="1">
        <v>44647</v>
      </c>
    </row>
    <row r="99" spans="1:4" x14ac:dyDescent="0.25">
      <c r="A99" s="10" t="s">
        <v>212</v>
      </c>
      <c r="B99" s="10">
        <v>13058</v>
      </c>
      <c r="C99" s="10">
        <v>13</v>
      </c>
      <c r="D99" s="1">
        <v>44647</v>
      </c>
    </row>
    <row r="100" spans="1:4" x14ac:dyDescent="0.25">
      <c r="A100" s="10" t="s">
        <v>213</v>
      </c>
      <c r="B100" s="10">
        <v>22835</v>
      </c>
      <c r="C100" s="10">
        <v>14</v>
      </c>
      <c r="D100" s="1">
        <v>44647</v>
      </c>
    </row>
    <row r="101" spans="1:4" x14ac:dyDescent="0.25">
      <c r="A101" s="10" t="s">
        <v>214</v>
      </c>
      <c r="B101" s="10">
        <v>517</v>
      </c>
      <c r="C101" s="10">
        <v>15</v>
      </c>
      <c r="D101" s="1">
        <v>44647</v>
      </c>
    </row>
    <row r="102" spans="1:4" x14ac:dyDescent="0.25">
      <c r="A102" s="10" t="s">
        <v>215</v>
      </c>
      <c r="B102" s="10">
        <v>424</v>
      </c>
      <c r="C102" s="10">
        <v>16</v>
      </c>
      <c r="D102" s="1">
        <v>44647</v>
      </c>
    </row>
    <row r="103" spans="1:4" x14ac:dyDescent="0.25">
      <c r="A103" s="10" t="s">
        <v>216</v>
      </c>
      <c r="B103" s="10">
        <v>395</v>
      </c>
      <c r="C103" s="10">
        <v>17</v>
      </c>
      <c r="D103" s="1">
        <v>44647</v>
      </c>
    </row>
    <row r="104" spans="1:4" x14ac:dyDescent="0.25">
      <c r="A104" s="10" t="s">
        <v>217</v>
      </c>
      <c r="B104" s="10">
        <v>226</v>
      </c>
      <c r="C104" s="10">
        <v>18</v>
      </c>
      <c r="D104" s="1">
        <v>44647</v>
      </c>
    </row>
    <row r="105" spans="1:4" x14ac:dyDescent="0.25">
      <c r="A105" s="10" t="s">
        <v>218</v>
      </c>
      <c r="B105" s="10">
        <v>388</v>
      </c>
      <c r="C105" s="10">
        <v>19</v>
      </c>
      <c r="D105" s="1">
        <v>44647</v>
      </c>
    </row>
    <row r="106" spans="1:4" x14ac:dyDescent="0.25">
      <c r="A106" s="10" t="s">
        <v>219</v>
      </c>
      <c r="B106" s="10">
        <v>895</v>
      </c>
      <c r="C106" s="10">
        <v>20</v>
      </c>
      <c r="D106" s="1">
        <v>44647</v>
      </c>
    </row>
    <row r="107" spans="1:4" x14ac:dyDescent="0.25">
      <c r="A107" s="10" t="s">
        <v>220</v>
      </c>
      <c r="B107" s="10">
        <v>934</v>
      </c>
      <c r="C107" s="10">
        <v>21</v>
      </c>
      <c r="D107" s="1">
        <v>44647</v>
      </c>
    </row>
    <row r="108" spans="1:4" x14ac:dyDescent="0.25">
      <c r="A108" s="10" t="s">
        <v>221</v>
      </c>
      <c r="B108" s="10">
        <v>548</v>
      </c>
      <c r="C108" s="10">
        <v>22</v>
      </c>
      <c r="D108" s="1">
        <v>44647</v>
      </c>
    </row>
    <row r="109" spans="1:4" x14ac:dyDescent="0.25">
      <c r="A109" s="10" t="s">
        <v>222</v>
      </c>
      <c r="B109" s="10">
        <v>446</v>
      </c>
      <c r="C109" s="10">
        <v>23</v>
      </c>
      <c r="D109" s="1">
        <v>44647</v>
      </c>
    </row>
    <row r="110" spans="1:4" x14ac:dyDescent="0.25">
      <c r="A110" s="10" t="s">
        <v>223</v>
      </c>
      <c r="B110" s="10">
        <v>418</v>
      </c>
      <c r="C110" s="10">
        <v>24</v>
      </c>
      <c r="D110" s="1">
        <v>44647</v>
      </c>
    </row>
    <row r="111" spans="1:4" x14ac:dyDescent="0.25">
      <c r="A111" s="10" t="s">
        <v>224</v>
      </c>
      <c r="B111" s="10">
        <v>64</v>
      </c>
      <c r="C111" s="10">
        <v>25</v>
      </c>
      <c r="D111" s="1">
        <v>44647</v>
      </c>
    </row>
    <row r="112" spans="1:4" x14ac:dyDescent="0.25">
      <c r="A112" s="10" t="s">
        <v>225</v>
      </c>
      <c r="B112" s="10">
        <v>141</v>
      </c>
      <c r="C112" s="10">
        <v>26</v>
      </c>
      <c r="D112" s="1">
        <v>44647</v>
      </c>
    </row>
    <row r="113" spans="1:4" x14ac:dyDescent="0.25">
      <c r="A113" s="10" t="s">
        <v>226</v>
      </c>
      <c r="B113" s="10">
        <v>2</v>
      </c>
      <c r="C113" s="10">
        <v>27</v>
      </c>
      <c r="D113" s="1">
        <v>44647</v>
      </c>
    </row>
    <row r="114" spans="1:4" x14ac:dyDescent="0.25">
      <c r="A114" s="10" t="s">
        <v>227</v>
      </c>
      <c r="B114" s="10">
        <v>529</v>
      </c>
      <c r="C114" s="10">
        <v>28</v>
      </c>
      <c r="D114" s="1">
        <v>44647</v>
      </c>
    </row>
    <row r="115" spans="1:4" x14ac:dyDescent="0.25">
      <c r="A115" s="10" t="s">
        <v>228</v>
      </c>
      <c r="B115" s="10">
        <v>185</v>
      </c>
      <c r="C115" s="10">
        <v>29</v>
      </c>
      <c r="D115" s="1">
        <v>44647</v>
      </c>
    </row>
    <row r="116" spans="1:4" x14ac:dyDescent="0.25">
      <c r="A116" s="10" t="s">
        <v>229</v>
      </c>
      <c r="B116" s="10">
        <v>21</v>
      </c>
      <c r="C116" s="10">
        <v>30</v>
      </c>
      <c r="D116" s="1">
        <v>44647</v>
      </c>
    </row>
    <row r="117" spans="1:4" x14ac:dyDescent="0.25">
      <c r="A117" s="10" t="s">
        <v>230</v>
      </c>
      <c r="B117" s="10">
        <v>283</v>
      </c>
      <c r="C117" s="10">
        <v>31</v>
      </c>
      <c r="D117" s="1">
        <v>44647</v>
      </c>
    </row>
    <row r="118" spans="1:4" x14ac:dyDescent="0.25">
      <c r="A118" s="10" t="s">
        <v>231</v>
      </c>
      <c r="B118" s="10">
        <v>30</v>
      </c>
      <c r="C118" s="10">
        <v>32</v>
      </c>
      <c r="D118" s="1">
        <v>44647</v>
      </c>
    </row>
    <row r="119" spans="1:4" x14ac:dyDescent="0.25">
      <c r="A119" s="10" t="s">
        <v>232</v>
      </c>
      <c r="B119" s="10">
        <v>26</v>
      </c>
      <c r="C119" s="10">
        <v>33</v>
      </c>
      <c r="D119" s="1">
        <v>44647</v>
      </c>
    </row>
    <row r="120" spans="1:4" x14ac:dyDescent="0.25">
      <c r="A120" s="10" t="s">
        <v>233</v>
      </c>
      <c r="B120" s="10">
        <v>130</v>
      </c>
      <c r="C120" s="10">
        <v>34</v>
      </c>
      <c r="D120" s="1">
        <v>44647</v>
      </c>
    </row>
    <row r="121" spans="1:4" x14ac:dyDescent="0.25">
      <c r="A121" s="10" t="s">
        <v>234</v>
      </c>
      <c r="B121" s="10">
        <v>10</v>
      </c>
      <c r="C121" s="10">
        <v>35</v>
      </c>
      <c r="D121" s="1">
        <v>44647</v>
      </c>
    </row>
    <row r="122" spans="1:4" x14ac:dyDescent="0.25">
      <c r="A122" s="10" t="s">
        <v>235</v>
      </c>
      <c r="B122" s="10">
        <v>103</v>
      </c>
      <c r="C122" s="10">
        <v>36</v>
      </c>
      <c r="D122" s="1">
        <v>44647</v>
      </c>
    </row>
    <row r="123" spans="1:4" x14ac:dyDescent="0.25">
      <c r="A123" s="10" t="s">
        <v>236</v>
      </c>
      <c r="B123" s="10">
        <v>25</v>
      </c>
      <c r="C123" s="10">
        <v>37</v>
      </c>
      <c r="D123" s="1">
        <v>44647</v>
      </c>
    </row>
    <row r="124" spans="1:4" x14ac:dyDescent="0.25">
      <c r="A124" s="10" t="s">
        <v>237</v>
      </c>
      <c r="B124" s="10">
        <v>30</v>
      </c>
      <c r="C124" s="10">
        <v>38</v>
      </c>
      <c r="D124" s="1">
        <v>44647</v>
      </c>
    </row>
    <row r="125" spans="1:4" x14ac:dyDescent="0.25">
      <c r="A125" s="10" t="s">
        <v>238</v>
      </c>
      <c r="B125" s="10">
        <v>47</v>
      </c>
      <c r="C125" s="10">
        <v>39</v>
      </c>
      <c r="D125" s="1">
        <v>44647</v>
      </c>
    </row>
    <row r="126" spans="1:4" x14ac:dyDescent="0.25">
      <c r="A126" s="10" t="s">
        <v>239</v>
      </c>
      <c r="B126" s="10">
        <v>79</v>
      </c>
      <c r="C126" s="10">
        <v>40</v>
      </c>
      <c r="D126" s="1">
        <v>44647</v>
      </c>
    </row>
    <row r="127" spans="1:4" x14ac:dyDescent="0.25">
      <c r="A127" s="10" t="s">
        <v>240</v>
      </c>
      <c r="B127" s="10">
        <v>21</v>
      </c>
      <c r="C127" s="10">
        <v>41</v>
      </c>
      <c r="D127" s="1">
        <v>44647</v>
      </c>
    </row>
    <row r="128" spans="1:4" x14ac:dyDescent="0.25">
      <c r="A128" s="10" t="s">
        <v>241</v>
      </c>
      <c r="B128" s="10">
        <v>17</v>
      </c>
      <c r="C128" s="10">
        <v>42</v>
      </c>
      <c r="D128" s="1">
        <v>44647</v>
      </c>
    </row>
    <row r="129" spans="1:4" x14ac:dyDescent="0.25">
      <c r="A129" s="10" t="s">
        <v>242</v>
      </c>
      <c r="B129" s="10">
        <v>19</v>
      </c>
      <c r="C129" s="10">
        <v>43</v>
      </c>
      <c r="D129" s="1">
        <v>44647</v>
      </c>
    </row>
    <row r="130" spans="1:4" x14ac:dyDescent="0.25">
      <c r="A130" s="10" t="s">
        <v>243</v>
      </c>
      <c r="B130" s="10">
        <v>13</v>
      </c>
      <c r="C130" s="10">
        <v>44</v>
      </c>
      <c r="D130" s="1">
        <v>44647</v>
      </c>
    </row>
    <row r="131" spans="1:4" x14ac:dyDescent="0.25">
      <c r="A131" s="10" t="s">
        <v>244</v>
      </c>
      <c r="B131" s="10">
        <v>30</v>
      </c>
      <c r="C131" s="10">
        <v>45</v>
      </c>
      <c r="D131" s="1">
        <v>44647</v>
      </c>
    </row>
    <row r="132" spans="1:4" x14ac:dyDescent="0.25">
      <c r="A132" s="10" t="s">
        <v>245</v>
      </c>
      <c r="B132" s="10">
        <v>26</v>
      </c>
      <c r="C132" s="10">
        <v>46</v>
      </c>
      <c r="D132" s="1">
        <v>44647</v>
      </c>
    </row>
    <row r="133" spans="1:4" x14ac:dyDescent="0.25">
      <c r="A133" s="10" t="s">
        <v>246</v>
      </c>
      <c r="B133" s="10">
        <v>18</v>
      </c>
      <c r="C133" s="10">
        <v>47</v>
      </c>
      <c r="D133" s="1">
        <v>44647</v>
      </c>
    </row>
    <row r="134" spans="1:4" x14ac:dyDescent="0.25">
      <c r="A134" s="10" t="s">
        <v>247</v>
      </c>
      <c r="B134" s="10">
        <v>27</v>
      </c>
      <c r="C134" s="10">
        <v>48</v>
      </c>
      <c r="D134" s="1">
        <v>44647</v>
      </c>
    </row>
    <row r="135" spans="1:4" x14ac:dyDescent="0.25">
      <c r="A135" s="10" t="s">
        <v>248</v>
      </c>
      <c r="B135" s="10">
        <v>52</v>
      </c>
      <c r="C135" s="10">
        <v>49</v>
      </c>
      <c r="D135" s="1">
        <v>44647</v>
      </c>
    </row>
    <row r="136" spans="1:4" x14ac:dyDescent="0.25">
      <c r="A136" s="10" t="s">
        <v>249</v>
      </c>
      <c r="B136" s="10">
        <v>32</v>
      </c>
      <c r="C136" s="10">
        <v>50</v>
      </c>
      <c r="D136" s="1">
        <v>44647</v>
      </c>
    </row>
    <row r="137" spans="1:4" x14ac:dyDescent="0.25">
      <c r="A137" s="10" t="s">
        <v>250</v>
      </c>
      <c r="B137" s="10">
        <v>30</v>
      </c>
      <c r="C137" s="10">
        <v>51</v>
      </c>
      <c r="D137" s="1">
        <v>44647</v>
      </c>
    </row>
    <row r="138" spans="1:4" x14ac:dyDescent="0.25">
      <c r="A138" s="10" t="s">
        <v>251</v>
      </c>
      <c r="B138" s="10">
        <v>37</v>
      </c>
      <c r="C138" s="10">
        <v>52</v>
      </c>
      <c r="D138" s="1">
        <v>44647</v>
      </c>
    </row>
    <row r="139" spans="1:4" x14ac:dyDescent="0.25">
      <c r="A139" s="10" t="s">
        <v>252</v>
      </c>
      <c r="B139" s="10">
        <v>36</v>
      </c>
      <c r="C139" s="10">
        <v>53</v>
      </c>
      <c r="D139" s="1">
        <v>44647</v>
      </c>
    </row>
    <row r="140" spans="1:4" x14ac:dyDescent="0.25">
      <c r="A140" s="10" t="s">
        <v>253</v>
      </c>
      <c r="B140" s="10">
        <v>40</v>
      </c>
      <c r="C140" s="10">
        <v>54</v>
      </c>
      <c r="D140" s="1">
        <v>44647</v>
      </c>
    </row>
    <row r="141" spans="1:4" x14ac:dyDescent="0.25">
      <c r="A141" s="10" t="s">
        <v>254</v>
      </c>
      <c r="B141" s="10">
        <v>56</v>
      </c>
      <c r="C141" s="10">
        <v>55</v>
      </c>
      <c r="D141" s="1">
        <v>44647</v>
      </c>
    </row>
    <row r="142" spans="1:4" x14ac:dyDescent="0.25">
      <c r="A142" s="10" t="s">
        <v>255</v>
      </c>
      <c r="B142" s="10">
        <v>401</v>
      </c>
      <c r="C142" s="10">
        <v>56</v>
      </c>
      <c r="D142" s="1">
        <v>44647</v>
      </c>
    </row>
    <row r="143" spans="1:4" x14ac:dyDescent="0.25">
      <c r="A143" s="10" t="s">
        <v>256</v>
      </c>
      <c r="B143" s="10">
        <v>223</v>
      </c>
      <c r="C143" s="10">
        <v>57</v>
      </c>
      <c r="D143" s="1">
        <v>44647</v>
      </c>
    </row>
    <row r="144" spans="1:4" x14ac:dyDescent="0.25">
      <c r="A144" s="10" t="s">
        <v>257</v>
      </c>
      <c r="B144" s="10">
        <v>310</v>
      </c>
      <c r="C144" s="10">
        <v>58</v>
      </c>
      <c r="D144" s="1">
        <v>44647</v>
      </c>
    </row>
    <row r="145" spans="1:4" x14ac:dyDescent="0.25">
      <c r="A145" s="10" t="s">
        <v>258</v>
      </c>
      <c r="B145" s="10">
        <v>0</v>
      </c>
      <c r="C145" s="10">
        <v>59</v>
      </c>
      <c r="D145" s="1">
        <v>44647</v>
      </c>
    </row>
    <row r="146" spans="1:4" x14ac:dyDescent="0.25">
      <c r="A146" s="10" t="s">
        <v>259</v>
      </c>
      <c r="B146" s="10">
        <v>313</v>
      </c>
      <c r="C146" s="10">
        <v>60</v>
      </c>
      <c r="D146" s="1">
        <v>44647</v>
      </c>
    </row>
    <row r="147" spans="1:4" x14ac:dyDescent="0.25">
      <c r="A147" s="10" t="s">
        <v>260</v>
      </c>
      <c r="B147" s="10">
        <v>0</v>
      </c>
      <c r="C147" s="10">
        <v>61</v>
      </c>
      <c r="D147" s="1">
        <v>44647</v>
      </c>
    </row>
    <row r="148" spans="1:4" x14ac:dyDescent="0.25">
      <c r="A148" s="10" t="s">
        <v>261</v>
      </c>
      <c r="B148" s="10">
        <v>0</v>
      </c>
      <c r="C148" s="10">
        <v>62</v>
      </c>
      <c r="D148" s="1">
        <v>44647</v>
      </c>
    </row>
    <row r="149" spans="1:4" x14ac:dyDescent="0.25">
      <c r="A149" s="10" t="s">
        <v>262</v>
      </c>
      <c r="B149" s="10">
        <v>234</v>
      </c>
      <c r="C149" s="10">
        <v>63</v>
      </c>
      <c r="D149" s="1">
        <v>44647</v>
      </c>
    </row>
    <row r="150" spans="1:4" x14ac:dyDescent="0.25">
      <c r="A150" s="10" t="s">
        <v>263</v>
      </c>
      <c r="B150" s="10">
        <v>0</v>
      </c>
      <c r="C150" s="10">
        <v>64</v>
      </c>
      <c r="D150" s="1">
        <v>44647</v>
      </c>
    </row>
    <row r="151" spans="1:4" x14ac:dyDescent="0.25">
      <c r="A151" s="10" t="s">
        <v>264</v>
      </c>
      <c r="B151" s="10">
        <v>0</v>
      </c>
      <c r="C151" s="10">
        <v>65</v>
      </c>
      <c r="D151" s="1">
        <v>44647</v>
      </c>
    </row>
    <row r="152" spans="1:4" x14ac:dyDescent="0.25">
      <c r="A152" s="10" t="s">
        <v>265</v>
      </c>
      <c r="B152" s="10">
        <v>0</v>
      </c>
      <c r="C152" s="10">
        <v>66</v>
      </c>
      <c r="D152" s="1">
        <v>44647</v>
      </c>
    </row>
    <row r="153" spans="1:4" x14ac:dyDescent="0.25">
      <c r="A153" s="10" t="s">
        <v>266</v>
      </c>
      <c r="B153" s="10">
        <v>0</v>
      </c>
      <c r="C153" s="10">
        <v>67</v>
      </c>
      <c r="D153" s="1">
        <v>44647</v>
      </c>
    </row>
    <row r="154" spans="1:4" x14ac:dyDescent="0.25">
      <c r="A154" s="10" t="s">
        <v>267</v>
      </c>
      <c r="B154" s="10">
        <v>0</v>
      </c>
      <c r="C154" s="10">
        <v>68</v>
      </c>
      <c r="D154" s="1">
        <v>44647</v>
      </c>
    </row>
    <row r="155" spans="1:4" x14ac:dyDescent="0.25">
      <c r="A155" s="10" t="s">
        <v>268</v>
      </c>
      <c r="B155" s="10">
        <v>0</v>
      </c>
      <c r="C155" s="10">
        <v>69</v>
      </c>
      <c r="D155" s="1">
        <v>44647</v>
      </c>
    </row>
    <row r="156" spans="1:4" x14ac:dyDescent="0.25">
      <c r="A156" s="10" t="s">
        <v>269</v>
      </c>
      <c r="B156" s="10">
        <v>0</v>
      </c>
      <c r="C156" s="10">
        <v>70</v>
      </c>
      <c r="D156" s="1">
        <v>44647</v>
      </c>
    </row>
    <row r="157" spans="1:4" x14ac:dyDescent="0.25">
      <c r="A157" s="10" t="s">
        <v>270</v>
      </c>
      <c r="B157" s="10">
        <v>0</v>
      </c>
      <c r="C157" s="10">
        <v>71</v>
      </c>
      <c r="D157" s="1">
        <v>44647</v>
      </c>
    </row>
    <row r="158" spans="1:4" x14ac:dyDescent="0.25">
      <c r="A158" s="10" t="s">
        <v>271</v>
      </c>
      <c r="B158" s="10">
        <v>0</v>
      </c>
      <c r="C158" s="10">
        <v>72</v>
      </c>
      <c r="D158" s="1">
        <v>44647</v>
      </c>
    </row>
    <row r="159" spans="1:4" x14ac:dyDescent="0.25">
      <c r="A159" s="10" t="s">
        <v>272</v>
      </c>
      <c r="B159" s="10">
        <v>0</v>
      </c>
      <c r="C159" s="10">
        <v>73</v>
      </c>
      <c r="D159" s="1">
        <v>44647</v>
      </c>
    </row>
    <row r="160" spans="1:4" x14ac:dyDescent="0.25">
      <c r="A160" s="10" t="s">
        <v>273</v>
      </c>
      <c r="B160" s="10">
        <v>0</v>
      </c>
      <c r="C160" s="10">
        <v>74</v>
      </c>
      <c r="D160" s="1">
        <v>44647</v>
      </c>
    </row>
    <row r="161" spans="1:4" x14ac:dyDescent="0.25">
      <c r="A161" s="10" t="s">
        <v>274</v>
      </c>
      <c r="B161" s="10">
        <v>100</v>
      </c>
      <c r="C161" s="10">
        <v>75</v>
      </c>
      <c r="D161" s="1">
        <v>44647</v>
      </c>
    </row>
    <row r="162" spans="1:4" x14ac:dyDescent="0.25">
      <c r="A162" s="10" t="s">
        <v>275</v>
      </c>
      <c r="B162" s="10">
        <v>64</v>
      </c>
      <c r="C162" s="10">
        <v>76</v>
      </c>
      <c r="D162" s="1">
        <v>44647</v>
      </c>
    </row>
    <row r="163" spans="1:4" x14ac:dyDescent="0.25">
      <c r="A163" s="10" t="s">
        <v>276</v>
      </c>
      <c r="B163" s="10">
        <v>0</v>
      </c>
      <c r="C163" s="10">
        <v>77</v>
      </c>
      <c r="D163" s="1">
        <v>44647</v>
      </c>
    </row>
    <row r="164" spans="1:4" x14ac:dyDescent="0.25">
      <c r="A164" s="10" t="s">
        <v>277</v>
      </c>
      <c r="B164" s="10">
        <v>0</v>
      </c>
      <c r="C164" s="10">
        <v>78</v>
      </c>
      <c r="D164" s="1">
        <v>44647</v>
      </c>
    </row>
    <row r="165" spans="1:4" x14ac:dyDescent="0.25">
      <c r="A165" s="10" t="s">
        <v>278</v>
      </c>
      <c r="B165" s="10">
        <v>0</v>
      </c>
      <c r="C165" s="10">
        <v>79</v>
      </c>
      <c r="D165" s="1">
        <v>44647</v>
      </c>
    </row>
    <row r="166" spans="1:4" x14ac:dyDescent="0.25">
      <c r="A166" s="10" t="s">
        <v>279</v>
      </c>
      <c r="B166" s="10">
        <v>0</v>
      </c>
      <c r="C166" s="10">
        <v>80</v>
      </c>
      <c r="D166" s="1">
        <v>44647</v>
      </c>
    </row>
    <row r="167" spans="1:4" x14ac:dyDescent="0.25">
      <c r="A167" s="10" t="s">
        <v>280</v>
      </c>
      <c r="B167" s="10">
        <v>514</v>
      </c>
      <c r="C167" s="10">
        <v>81</v>
      </c>
      <c r="D167" s="1">
        <v>44647</v>
      </c>
    </row>
    <row r="168" spans="1:4" x14ac:dyDescent="0.25">
      <c r="A168" s="10" t="s">
        <v>281</v>
      </c>
      <c r="B168" s="10">
        <v>1061</v>
      </c>
      <c r="C168" s="10">
        <v>82</v>
      </c>
      <c r="D168" s="1">
        <v>44647</v>
      </c>
    </row>
    <row r="169" spans="1:4" x14ac:dyDescent="0.25">
      <c r="A169" s="10" t="s">
        <v>282</v>
      </c>
      <c r="B169" s="10">
        <v>164</v>
      </c>
      <c r="C169" s="10">
        <v>83</v>
      </c>
      <c r="D169" s="1">
        <v>44647</v>
      </c>
    </row>
    <row r="170" spans="1:4" x14ac:dyDescent="0.25">
      <c r="A170" s="10" t="s">
        <v>279</v>
      </c>
      <c r="B170" s="10">
        <v>0</v>
      </c>
      <c r="C170" s="10">
        <v>84</v>
      </c>
      <c r="D170" s="1">
        <v>44647</v>
      </c>
    </row>
    <row r="171" spans="1:4" x14ac:dyDescent="0.25">
      <c r="A171" s="10" t="s">
        <v>200</v>
      </c>
      <c r="B171" s="10">
        <v>39120</v>
      </c>
      <c r="C171" s="10">
        <v>1</v>
      </c>
      <c r="D171" s="1">
        <v>44648</v>
      </c>
    </row>
    <row r="172" spans="1:4" x14ac:dyDescent="0.25">
      <c r="A172" s="10" t="s">
        <v>201</v>
      </c>
      <c r="B172" s="10">
        <v>58705</v>
      </c>
      <c r="C172" s="10">
        <v>2</v>
      </c>
      <c r="D172" s="1">
        <v>44648</v>
      </c>
    </row>
    <row r="173" spans="1:4" x14ac:dyDescent="0.25">
      <c r="A173" s="10" t="s">
        <v>202</v>
      </c>
      <c r="B173" s="10">
        <v>614</v>
      </c>
      <c r="C173" s="10">
        <v>3</v>
      </c>
      <c r="D173" s="1">
        <v>44648</v>
      </c>
    </row>
    <row r="174" spans="1:4" x14ac:dyDescent="0.25">
      <c r="A174" s="10" t="s">
        <v>203</v>
      </c>
      <c r="B174" s="10">
        <v>93</v>
      </c>
      <c r="C174" s="10">
        <v>4</v>
      </c>
      <c r="D174" s="1">
        <v>44648</v>
      </c>
    </row>
    <row r="175" spans="1:4" x14ac:dyDescent="0.25">
      <c r="A175" s="10" t="s">
        <v>204</v>
      </c>
      <c r="B175" s="10">
        <v>1225</v>
      </c>
      <c r="C175" s="10">
        <v>5</v>
      </c>
      <c r="D175" s="1">
        <v>44648</v>
      </c>
    </row>
    <row r="176" spans="1:4" x14ac:dyDescent="0.25">
      <c r="A176" s="10" t="s">
        <v>205</v>
      </c>
      <c r="B176" s="10">
        <v>283</v>
      </c>
      <c r="C176" s="10">
        <v>6</v>
      </c>
      <c r="D176" s="1">
        <v>44648</v>
      </c>
    </row>
    <row r="177" spans="1:4" x14ac:dyDescent="0.25">
      <c r="A177" s="10" t="s">
        <v>206</v>
      </c>
      <c r="B177" s="10">
        <v>226</v>
      </c>
      <c r="C177" s="10">
        <v>7</v>
      </c>
      <c r="D177" s="1">
        <v>44648</v>
      </c>
    </row>
    <row r="178" spans="1:4" x14ac:dyDescent="0.25">
      <c r="A178" s="10" t="s">
        <v>207</v>
      </c>
      <c r="B178" s="10">
        <v>999</v>
      </c>
      <c r="C178" s="10">
        <v>8</v>
      </c>
      <c r="D178" s="1">
        <v>44648</v>
      </c>
    </row>
    <row r="179" spans="1:4" x14ac:dyDescent="0.25">
      <c r="A179" s="10" t="s">
        <v>208</v>
      </c>
      <c r="B179" s="10">
        <v>16766</v>
      </c>
      <c r="C179" s="10">
        <v>9</v>
      </c>
      <c r="D179" s="1">
        <v>44648</v>
      </c>
    </row>
    <row r="180" spans="1:4" x14ac:dyDescent="0.25">
      <c r="A180" s="10" t="s">
        <v>209</v>
      </c>
      <c r="B180" s="10">
        <v>7947</v>
      </c>
      <c r="C180" s="10">
        <v>10</v>
      </c>
      <c r="D180" s="1">
        <v>44648</v>
      </c>
    </row>
    <row r="181" spans="1:4" x14ac:dyDescent="0.25">
      <c r="A181" s="10" t="s">
        <v>210</v>
      </c>
      <c r="B181" s="10">
        <v>14419</v>
      </c>
      <c r="C181" s="10">
        <v>11</v>
      </c>
      <c r="D181" s="1">
        <v>44648</v>
      </c>
    </row>
    <row r="182" spans="1:4" x14ac:dyDescent="0.25">
      <c r="A182" s="10" t="s">
        <v>211</v>
      </c>
      <c r="B182" s="10">
        <v>22822</v>
      </c>
      <c r="C182" s="10">
        <v>12</v>
      </c>
      <c r="D182" s="1">
        <v>44648</v>
      </c>
    </row>
    <row r="183" spans="1:4" x14ac:dyDescent="0.25">
      <c r="A183" s="10" t="s">
        <v>212</v>
      </c>
      <c r="B183" s="10">
        <v>13058</v>
      </c>
      <c r="C183" s="10">
        <v>13</v>
      </c>
      <c r="D183" s="1">
        <v>44648</v>
      </c>
    </row>
    <row r="184" spans="1:4" x14ac:dyDescent="0.25">
      <c r="A184" s="10" t="s">
        <v>213</v>
      </c>
      <c r="B184" s="10">
        <v>22835</v>
      </c>
      <c r="C184" s="10">
        <v>14</v>
      </c>
      <c r="D184" s="1">
        <v>44648</v>
      </c>
    </row>
    <row r="185" spans="1:4" x14ac:dyDescent="0.25">
      <c r="A185" s="10" t="s">
        <v>214</v>
      </c>
      <c r="B185" s="10">
        <v>517</v>
      </c>
      <c r="C185" s="10">
        <v>15</v>
      </c>
      <c r="D185" s="1">
        <v>44648</v>
      </c>
    </row>
    <row r="186" spans="1:4" x14ac:dyDescent="0.25">
      <c r="A186" s="10" t="s">
        <v>215</v>
      </c>
      <c r="B186" s="10">
        <v>424</v>
      </c>
      <c r="C186" s="10">
        <v>16</v>
      </c>
      <c r="D186" s="1">
        <v>44648</v>
      </c>
    </row>
    <row r="187" spans="1:4" x14ac:dyDescent="0.25">
      <c r="A187" s="10" t="s">
        <v>216</v>
      </c>
      <c r="B187" s="10">
        <v>395</v>
      </c>
      <c r="C187" s="10">
        <v>17</v>
      </c>
      <c r="D187" s="1">
        <v>44648</v>
      </c>
    </row>
    <row r="188" spans="1:4" x14ac:dyDescent="0.25">
      <c r="A188" s="10" t="s">
        <v>217</v>
      </c>
      <c r="B188" s="10">
        <v>226</v>
      </c>
      <c r="C188" s="10">
        <v>18</v>
      </c>
      <c r="D188" s="1">
        <v>44648</v>
      </c>
    </row>
    <row r="189" spans="1:4" x14ac:dyDescent="0.25">
      <c r="A189" s="10" t="s">
        <v>218</v>
      </c>
      <c r="B189" s="10">
        <v>388</v>
      </c>
      <c r="C189" s="10">
        <v>19</v>
      </c>
      <c r="D189" s="1">
        <v>44648</v>
      </c>
    </row>
    <row r="190" spans="1:4" x14ac:dyDescent="0.25">
      <c r="A190" s="10" t="s">
        <v>219</v>
      </c>
      <c r="B190" s="10">
        <v>895</v>
      </c>
      <c r="C190" s="10">
        <v>20</v>
      </c>
      <c r="D190" s="1">
        <v>44648</v>
      </c>
    </row>
    <row r="191" spans="1:4" x14ac:dyDescent="0.25">
      <c r="A191" s="10" t="s">
        <v>220</v>
      </c>
      <c r="B191" s="10">
        <v>934</v>
      </c>
      <c r="C191" s="10">
        <v>21</v>
      </c>
      <c r="D191" s="1">
        <v>44648</v>
      </c>
    </row>
    <row r="192" spans="1:4" x14ac:dyDescent="0.25">
      <c r="A192" s="10" t="s">
        <v>221</v>
      </c>
      <c r="B192" s="10">
        <v>548</v>
      </c>
      <c r="C192" s="10">
        <v>22</v>
      </c>
      <c r="D192" s="1">
        <v>44648</v>
      </c>
    </row>
    <row r="193" spans="1:4" x14ac:dyDescent="0.25">
      <c r="A193" s="10" t="s">
        <v>222</v>
      </c>
      <c r="B193" s="10">
        <v>446</v>
      </c>
      <c r="C193" s="10">
        <v>23</v>
      </c>
      <c r="D193" s="1">
        <v>44648</v>
      </c>
    </row>
    <row r="194" spans="1:4" x14ac:dyDescent="0.25">
      <c r="A194" s="10" t="s">
        <v>223</v>
      </c>
      <c r="B194" s="10">
        <v>418</v>
      </c>
      <c r="C194" s="10">
        <v>24</v>
      </c>
      <c r="D194" s="1">
        <v>44648</v>
      </c>
    </row>
    <row r="195" spans="1:4" x14ac:dyDescent="0.25">
      <c r="A195" s="10" t="s">
        <v>224</v>
      </c>
      <c r="B195" s="10">
        <v>64</v>
      </c>
      <c r="C195" s="10">
        <v>25</v>
      </c>
      <c r="D195" s="1">
        <v>44648</v>
      </c>
    </row>
    <row r="196" spans="1:4" x14ac:dyDescent="0.25">
      <c r="A196" s="10" t="s">
        <v>225</v>
      </c>
      <c r="B196" s="10">
        <v>141</v>
      </c>
      <c r="C196" s="10">
        <v>26</v>
      </c>
      <c r="D196" s="1">
        <v>44648</v>
      </c>
    </row>
    <row r="197" spans="1:4" x14ac:dyDescent="0.25">
      <c r="A197" s="10" t="s">
        <v>226</v>
      </c>
      <c r="B197" s="10">
        <v>2</v>
      </c>
      <c r="C197" s="10">
        <v>27</v>
      </c>
      <c r="D197" s="1">
        <v>44648</v>
      </c>
    </row>
    <row r="198" spans="1:4" x14ac:dyDescent="0.25">
      <c r="A198" s="10" t="s">
        <v>227</v>
      </c>
      <c r="B198" s="10">
        <v>529</v>
      </c>
      <c r="C198" s="10">
        <v>28</v>
      </c>
      <c r="D198" s="1">
        <v>44648</v>
      </c>
    </row>
    <row r="199" spans="1:4" x14ac:dyDescent="0.25">
      <c r="A199" s="10" t="s">
        <v>228</v>
      </c>
      <c r="B199" s="10">
        <v>185</v>
      </c>
      <c r="C199" s="10">
        <v>29</v>
      </c>
      <c r="D199" s="1">
        <v>44648</v>
      </c>
    </row>
    <row r="200" spans="1:4" x14ac:dyDescent="0.25">
      <c r="A200" s="10" t="s">
        <v>229</v>
      </c>
      <c r="B200" s="10">
        <v>21</v>
      </c>
      <c r="C200" s="10">
        <v>30</v>
      </c>
      <c r="D200" s="1">
        <v>44648</v>
      </c>
    </row>
    <row r="201" spans="1:4" x14ac:dyDescent="0.25">
      <c r="A201" s="10" t="s">
        <v>230</v>
      </c>
      <c r="B201" s="10">
        <v>283</v>
      </c>
      <c r="C201" s="10">
        <v>31</v>
      </c>
      <c r="D201" s="1">
        <v>44648</v>
      </c>
    </row>
    <row r="202" spans="1:4" x14ac:dyDescent="0.25">
      <c r="A202" s="10" t="s">
        <v>231</v>
      </c>
      <c r="B202" s="10">
        <v>30</v>
      </c>
      <c r="C202" s="10">
        <v>32</v>
      </c>
      <c r="D202" s="1">
        <v>44648</v>
      </c>
    </row>
    <row r="203" spans="1:4" x14ac:dyDescent="0.25">
      <c r="A203" s="10" t="s">
        <v>232</v>
      </c>
      <c r="B203" s="10">
        <v>26</v>
      </c>
      <c r="C203" s="10">
        <v>33</v>
      </c>
      <c r="D203" s="1">
        <v>44648</v>
      </c>
    </row>
    <row r="204" spans="1:4" x14ac:dyDescent="0.25">
      <c r="A204" s="10" t="s">
        <v>233</v>
      </c>
      <c r="B204" s="10">
        <v>130</v>
      </c>
      <c r="C204" s="10">
        <v>34</v>
      </c>
      <c r="D204" s="1">
        <v>44648</v>
      </c>
    </row>
    <row r="205" spans="1:4" x14ac:dyDescent="0.25">
      <c r="A205" s="10" t="s">
        <v>234</v>
      </c>
      <c r="B205" s="10">
        <v>10</v>
      </c>
      <c r="C205" s="10">
        <v>35</v>
      </c>
      <c r="D205" s="1">
        <v>44648</v>
      </c>
    </row>
    <row r="206" spans="1:4" x14ac:dyDescent="0.25">
      <c r="A206" s="10" t="s">
        <v>235</v>
      </c>
      <c r="B206" s="10">
        <v>103</v>
      </c>
      <c r="C206" s="10">
        <v>36</v>
      </c>
      <c r="D206" s="1">
        <v>44648</v>
      </c>
    </row>
    <row r="207" spans="1:4" x14ac:dyDescent="0.25">
      <c r="A207" s="10" t="s">
        <v>236</v>
      </c>
      <c r="B207" s="10">
        <v>25</v>
      </c>
      <c r="C207" s="10">
        <v>37</v>
      </c>
      <c r="D207" s="1">
        <v>44648</v>
      </c>
    </row>
    <row r="208" spans="1:4" x14ac:dyDescent="0.25">
      <c r="A208" s="10" t="s">
        <v>237</v>
      </c>
      <c r="B208" s="10">
        <v>30</v>
      </c>
      <c r="C208" s="10">
        <v>38</v>
      </c>
      <c r="D208" s="1">
        <v>44648</v>
      </c>
    </row>
    <row r="209" spans="1:4" x14ac:dyDescent="0.25">
      <c r="A209" s="10" t="s">
        <v>238</v>
      </c>
      <c r="B209" s="10">
        <v>47</v>
      </c>
      <c r="C209" s="10">
        <v>39</v>
      </c>
      <c r="D209" s="1">
        <v>44648</v>
      </c>
    </row>
    <row r="210" spans="1:4" x14ac:dyDescent="0.25">
      <c r="A210" s="10" t="s">
        <v>239</v>
      </c>
      <c r="B210" s="10">
        <v>79</v>
      </c>
      <c r="C210" s="10">
        <v>40</v>
      </c>
      <c r="D210" s="1">
        <v>44648</v>
      </c>
    </row>
    <row r="211" spans="1:4" x14ac:dyDescent="0.25">
      <c r="A211" s="10" t="s">
        <v>240</v>
      </c>
      <c r="B211" s="10">
        <v>21</v>
      </c>
      <c r="C211" s="10">
        <v>41</v>
      </c>
      <c r="D211" s="1">
        <v>44648</v>
      </c>
    </row>
    <row r="212" spans="1:4" x14ac:dyDescent="0.25">
      <c r="A212" s="10" t="s">
        <v>241</v>
      </c>
      <c r="B212" s="10">
        <v>17</v>
      </c>
      <c r="C212" s="10">
        <v>42</v>
      </c>
      <c r="D212" s="1">
        <v>44648</v>
      </c>
    </row>
    <row r="213" spans="1:4" x14ac:dyDescent="0.25">
      <c r="A213" s="10" t="s">
        <v>242</v>
      </c>
      <c r="B213" s="10">
        <v>19</v>
      </c>
      <c r="C213" s="10">
        <v>43</v>
      </c>
      <c r="D213" s="1">
        <v>44648</v>
      </c>
    </row>
    <row r="214" spans="1:4" x14ac:dyDescent="0.25">
      <c r="A214" s="10" t="s">
        <v>243</v>
      </c>
      <c r="B214" s="10">
        <v>13</v>
      </c>
      <c r="C214" s="10">
        <v>44</v>
      </c>
      <c r="D214" s="1">
        <v>44648</v>
      </c>
    </row>
    <row r="215" spans="1:4" x14ac:dyDescent="0.25">
      <c r="A215" s="10" t="s">
        <v>244</v>
      </c>
      <c r="B215" s="10">
        <v>30</v>
      </c>
      <c r="C215" s="10">
        <v>45</v>
      </c>
      <c r="D215" s="1">
        <v>44648</v>
      </c>
    </row>
    <row r="216" spans="1:4" x14ac:dyDescent="0.25">
      <c r="A216" s="10" t="s">
        <v>245</v>
      </c>
      <c r="B216" s="10">
        <v>26</v>
      </c>
      <c r="C216" s="10">
        <v>46</v>
      </c>
      <c r="D216" s="1">
        <v>44648</v>
      </c>
    </row>
    <row r="217" spans="1:4" x14ac:dyDescent="0.25">
      <c r="A217" s="10" t="s">
        <v>246</v>
      </c>
      <c r="B217" s="10">
        <v>18</v>
      </c>
      <c r="C217" s="10">
        <v>47</v>
      </c>
      <c r="D217" s="1">
        <v>44648</v>
      </c>
    </row>
    <row r="218" spans="1:4" x14ac:dyDescent="0.25">
      <c r="A218" s="10" t="s">
        <v>247</v>
      </c>
      <c r="B218" s="10">
        <v>27</v>
      </c>
      <c r="C218" s="10">
        <v>48</v>
      </c>
      <c r="D218" s="1">
        <v>44648</v>
      </c>
    </row>
    <row r="219" spans="1:4" x14ac:dyDescent="0.25">
      <c r="A219" s="10" t="s">
        <v>248</v>
      </c>
      <c r="B219" s="10">
        <v>52</v>
      </c>
      <c r="C219" s="10">
        <v>49</v>
      </c>
      <c r="D219" s="1">
        <v>44648</v>
      </c>
    </row>
    <row r="220" spans="1:4" x14ac:dyDescent="0.25">
      <c r="A220" s="10" t="s">
        <v>249</v>
      </c>
      <c r="B220" s="10">
        <v>32</v>
      </c>
      <c r="C220" s="10">
        <v>50</v>
      </c>
      <c r="D220" s="1">
        <v>44648</v>
      </c>
    </row>
    <row r="221" spans="1:4" x14ac:dyDescent="0.25">
      <c r="A221" s="10" t="s">
        <v>250</v>
      </c>
      <c r="B221" s="10">
        <v>30</v>
      </c>
      <c r="C221" s="10">
        <v>51</v>
      </c>
      <c r="D221" s="1">
        <v>44648</v>
      </c>
    </row>
    <row r="222" spans="1:4" x14ac:dyDescent="0.25">
      <c r="A222" s="10" t="s">
        <v>251</v>
      </c>
      <c r="B222" s="10">
        <v>37</v>
      </c>
      <c r="C222" s="10">
        <v>52</v>
      </c>
      <c r="D222" s="1">
        <v>44648</v>
      </c>
    </row>
    <row r="223" spans="1:4" x14ac:dyDescent="0.25">
      <c r="A223" s="10" t="s">
        <v>252</v>
      </c>
      <c r="B223" s="10">
        <v>36</v>
      </c>
      <c r="C223" s="10">
        <v>53</v>
      </c>
      <c r="D223" s="1">
        <v>44648</v>
      </c>
    </row>
    <row r="224" spans="1:4" x14ac:dyDescent="0.25">
      <c r="A224" s="10" t="s">
        <v>253</v>
      </c>
      <c r="B224" s="10">
        <v>40</v>
      </c>
      <c r="C224" s="10">
        <v>54</v>
      </c>
      <c r="D224" s="1">
        <v>44648</v>
      </c>
    </row>
    <row r="225" spans="1:4" x14ac:dyDescent="0.25">
      <c r="A225" s="10" t="s">
        <v>254</v>
      </c>
      <c r="B225" s="10">
        <v>56</v>
      </c>
      <c r="C225" s="10">
        <v>55</v>
      </c>
      <c r="D225" s="1">
        <v>44648</v>
      </c>
    </row>
    <row r="226" spans="1:4" x14ac:dyDescent="0.25">
      <c r="A226" s="10" t="s">
        <v>255</v>
      </c>
      <c r="B226" s="10">
        <v>401</v>
      </c>
      <c r="C226" s="10">
        <v>56</v>
      </c>
      <c r="D226" s="1">
        <v>44648</v>
      </c>
    </row>
    <row r="227" spans="1:4" x14ac:dyDescent="0.25">
      <c r="A227" s="10" t="s">
        <v>256</v>
      </c>
      <c r="B227" s="10">
        <v>223</v>
      </c>
      <c r="C227" s="10">
        <v>57</v>
      </c>
      <c r="D227" s="1">
        <v>44648</v>
      </c>
    </row>
    <row r="228" spans="1:4" x14ac:dyDescent="0.25">
      <c r="A228" s="10" t="s">
        <v>257</v>
      </c>
      <c r="B228" s="10">
        <v>310</v>
      </c>
      <c r="C228" s="10">
        <v>58</v>
      </c>
      <c r="D228" s="1">
        <v>44648</v>
      </c>
    </row>
    <row r="229" spans="1:4" x14ac:dyDescent="0.25">
      <c r="A229" s="10" t="s">
        <v>258</v>
      </c>
      <c r="B229" s="10">
        <v>0</v>
      </c>
      <c r="C229" s="10">
        <v>59</v>
      </c>
      <c r="D229" s="1">
        <v>44648</v>
      </c>
    </row>
    <row r="230" spans="1:4" x14ac:dyDescent="0.25">
      <c r="A230" s="10" t="s">
        <v>259</v>
      </c>
      <c r="B230" s="10">
        <v>313</v>
      </c>
      <c r="C230" s="10">
        <v>60</v>
      </c>
      <c r="D230" s="1">
        <v>44648</v>
      </c>
    </row>
    <row r="231" spans="1:4" x14ac:dyDescent="0.25">
      <c r="A231" s="10" t="s">
        <v>260</v>
      </c>
      <c r="B231" s="10">
        <v>0</v>
      </c>
      <c r="C231" s="10">
        <v>61</v>
      </c>
      <c r="D231" s="1">
        <v>44648</v>
      </c>
    </row>
    <row r="232" spans="1:4" x14ac:dyDescent="0.25">
      <c r="A232" s="10" t="s">
        <v>261</v>
      </c>
      <c r="B232" s="10">
        <v>0</v>
      </c>
      <c r="C232" s="10">
        <v>62</v>
      </c>
      <c r="D232" s="1">
        <v>44648</v>
      </c>
    </row>
    <row r="233" spans="1:4" x14ac:dyDescent="0.25">
      <c r="A233" s="10" t="s">
        <v>262</v>
      </c>
      <c r="B233" s="10">
        <v>234</v>
      </c>
      <c r="C233" s="10">
        <v>63</v>
      </c>
      <c r="D233" s="1">
        <v>44648</v>
      </c>
    </row>
    <row r="234" spans="1:4" x14ac:dyDescent="0.25">
      <c r="A234" s="10" t="s">
        <v>263</v>
      </c>
      <c r="B234" s="10">
        <v>0</v>
      </c>
      <c r="C234" s="10">
        <v>64</v>
      </c>
      <c r="D234" s="1">
        <v>44648</v>
      </c>
    </row>
    <row r="235" spans="1:4" x14ac:dyDescent="0.25">
      <c r="A235" s="10" t="s">
        <v>264</v>
      </c>
      <c r="B235" s="10">
        <v>0</v>
      </c>
      <c r="C235" s="10">
        <v>65</v>
      </c>
      <c r="D235" s="1">
        <v>44648</v>
      </c>
    </row>
    <row r="236" spans="1:4" x14ac:dyDescent="0.25">
      <c r="A236" s="10" t="s">
        <v>265</v>
      </c>
      <c r="B236" s="10">
        <v>0</v>
      </c>
      <c r="C236" s="10">
        <v>66</v>
      </c>
      <c r="D236" s="1">
        <v>44648</v>
      </c>
    </row>
    <row r="237" spans="1:4" x14ac:dyDescent="0.25">
      <c r="A237" s="10" t="s">
        <v>266</v>
      </c>
      <c r="B237" s="10">
        <v>0</v>
      </c>
      <c r="C237" s="10">
        <v>67</v>
      </c>
      <c r="D237" s="1">
        <v>44648</v>
      </c>
    </row>
    <row r="238" spans="1:4" x14ac:dyDescent="0.25">
      <c r="A238" s="10" t="s">
        <v>267</v>
      </c>
      <c r="B238" s="10">
        <v>0</v>
      </c>
      <c r="C238" s="10">
        <v>68</v>
      </c>
      <c r="D238" s="1">
        <v>44648</v>
      </c>
    </row>
    <row r="239" spans="1:4" x14ac:dyDescent="0.25">
      <c r="A239" s="10" t="s">
        <v>268</v>
      </c>
      <c r="B239" s="10">
        <v>0</v>
      </c>
      <c r="C239" s="10">
        <v>69</v>
      </c>
      <c r="D239" s="1">
        <v>44648</v>
      </c>
    </row>
    <row r="240" spans="1:4" x14ac:dyDescent="0.25">
      <c r="A240" s="10" t="s">
        <v>269</v>
      </c>
      <c r="B240" s="10">
        <v>0</v>
      </c>
      <c r="C240" s="10">
        <v>70</v>
      </c>
      <c r="D240" s="1">
        <v>44648</v>
      </c>
    </row>
    <row r="241" spans="1:4" x14ac:dyDescent="0.25">
      <c r="A241" s="10" t="s">
        <v>270</v>
      </c>
      <c r="B241" s="10">
        <v>0</v>
      </c>
      <c r="C241" s="10">
        <v>71</v>
      </c>
      <c r="D241" s="1">
        <v>44648</v>
      </c>
    </row>
    <row r="242" spans="1:4" x14ac:dyDescent="0.25">
      <c r="A242" s="10" t="s">
        <v>271</v>
      </c>
      <c r="B242" s="10">
        <v>0</v>
      </c>
      <c r="C242" s="10">
        <v>72</v>
      </c>
      <c r="D242" s="1">
        <v>44648</v>
      </c>
    </row>
    <row r="243" spans="1:4" x14ac:dyDescent="0.25">
      <c r="A243" s="10" t="s">
        <v>272</v>
      </c>
      <c r="B243" s="10">
        <v>0</v>
      </c>
      <c r="C243" s="10">
        <v>73</v>
      </c>
      <c r="D243" s="1">
        <v>44648</v>
      </c>
    </row>
    <row r="244" spans="1:4" x14ac:dyDescent="0.25">
      <c r="A244" s="10" t="s">
        <v>273</v>
      </c>
      <c r="B244" s="10">
        <v>0</v>
      </c>
      <c r="C244" s="10">
        <v>74</v>
      </c>
      <c r="D244" s="1">
        <v>44648</v>
      </c>
    </row>
    <row r="245" spans="1:4" x14ac:dyDescent="0.25">
      <c r="A245" s="10" t="s">
        <v>274</v>
      </c>
      <c r="B245" s="10">
        <v>100</v>
      </c>
      <c r="C245" s="10">
        <v>75</v>
      </c>
      <c r="D245" s="1">
        <v>44648</v>
      </c>
    </row>
    <row r="246" spans="1:4" x14ac:dyDescent="0.25">
      <c r="A246" s="10" t="s">
        <v>275</v>
      </c>
      <c r="B246" s="10">
        <v>64</v>
      </c>
      <c r="C246" s="10">
        <v>76</v>
      </c>
      <c r="D246" s="1">
        <v>44648</v>
      </c>
    </row>
    <row r="247" spans="1:4" x14ac:dyDescent="0.25">
      <c r="A247" s="10" t="s">
        <v>276</v>
      </c>
      <c r="B247" s="10">
        <v>0</v>
      </c>
      <c r="C247" s="10">
        <v>77</v>
      </c>
      <c r="D247" s="1">
        <v>44648</v>
      </c>
    </row>
    <row r="248" spans="1:4" x14ac:dyDescent="0.25">
      <c r="A248" s="10" t="s">
        <v>277</v>
      </c>
      <c r="B248" s="10">
        <v>0</v>
      </c>
      <c r="C248" s="10">
        <v>78</v>
      </c>
      <c r="D248" s="1">
        <v>44648</v>
      </c>
    </row>
    <row r="249" spans="1:4" x14ac:dyDescent="0.25">
      <c r="A249" s="10" t="s">
        <v>278</v>
      </c>
      <c r="B249" s="10">
        <v>0</v>
      </c>
      <c r="C249" s="10">
        <v>79</v>
      </c>
      <c r="D249" s="1">
        <v>44648</v>
      </c>
    </row>
    <row r="250" spans="1:4" x14ac:dyDescent="0.25">
      <c r="A250" s="10" t="s">
        <v>279</v>
      </c>
      <c r="B250" s="10">
        <v>0</v>
      </c>
      <c r="C250" s="10">
        <v>80</v>
      </c>
      <c r="D250" s="1">
        <v>44648</v>
      </c>
    </row>
    <row r="251" spans="1:4" x14ac:dyDescent="0.25">
      <c r="A251" s="10" t="s">
        <v>280</v>
      </c>
      <c r="B251" s="10">
        <v>514</v>
      </c>
      <c r="C251" s="10">
        <v>81</v>
      </c>
      <c r="D251" s="1">
        <v>44648</v>
      </c>
    </row>
    <row r="252" spans="1:4" x14ac:dyDescent="0.25">
      <c r="A252" s="10" t="s">
        <v>281</v>
      </c>
      <c r="B252" s="10">
        <v>1061</v>
      </c>
      <c r="C252" s="10">
        <v>82</v>
      </c>
      <c r="D252" s="1">
        <v>44648</v>
      </c>
    </row>
    <row r="253" spans="1:4" x14ac:dyDescent="0.25">
      <c r="A253" s="10" t="s">
        <v>282</v>
      </c>
      <c r="B253" s="10">
        <v>164</v>
      </c>
      <c r="C253" s="10">
        <v>83</v>
      </c>
      <c r="D253" s="1">
        <v>44648</v>
      </c>
    </row>
    <row r="254" spans="1:4" x14ac:dyDescent="0.25">
      <c r="A254" s="10" t="s">
        <v>279</v>
      </c>
      <c r="B254" s="10">
        <v>0</v>
      </c>
      <c r="C254" s="10">
        <v>84</v>
      </c>
      <c r="D254" s="10">
        <v>44648</v>
      </c>
    </row>
    <row r="255" spans="1:4" x14ac:dyDescent="0.25">
      <c r="A255" s="10" t="s">
        <v>200</v>
      </c>
      <c r="B255" s="10">
        <v>43736</v>
      </c>
      <c r="C255" s="10">
        <v>1</v>
      </c>
      <c r="D255" s="1">
        <v>44649</v>
      </c>
    </row>
    <row r="256" spans="1:4" x14ac:dyDescent="0.25">
      <c r="A256" s="10" t="s">
        <v>201</v>
      </c>
      <c r="B256" s="10">
        <v>63663</v>
      </c>
      <c r="C256" s="10">
        <v>2</v>
      </c>
      <c r="D256" s="1">
        <v>44649</v>
      </c>
    </row>
    <row r="257" spans="1:4" x14ac:dyDescent="0.25">
      <c r="A257" s="10" t="s">
        <v>202</v>
      </c>
      <c r="B257" s="10">
        <v>1201</v>
      </c>
      <c r="C257" s="10">
        <v>3</v>
      </c>
      <c r="D257" s="1">
        <v>44649</v>
      </c>
    </row>
    <row r="258" spans="1:4" x14ac:dyDescent="0.25">
      <c r="A258" s="10" t="s">
        <v>203</v>
      </c>
      <c r="B258" s="10">
        <v>94</v>
      </c>
      <c r="C258" s="10">
        <v>4</v>
      </c>
      <c r="D258" s="1">
        <v>44649</v>
      </c>
    </row>
    <row r="259" spans="1:4" x14ac:dyDescent="0.25">
      <c r="A259" s="10" t="s">
        <v>204</v>
      </c>
      <c r="B259" s="10">
        <v>1838</v>
      </c>
      <c r="C259" s="10">
        <v>5</v>
      </c>
      <c r="D259" s="1">
        <v>44649</v>
      </c>
    </row>
    <row r="260" spans="1:4" x14ac:dyDescent="0.25">
      <c r="A260" s="10" t="s">
        <v>205</v>
      </c>
      <c r="B260" s="10">
        <v>299</v>
      </c>
      <c r="C260" s="10">
        <v>6</v>
      </c>
      <c r="D260" s="1">
        <v>44649</v>
      </c>
    </row>
    <row r="261" spans="1:4" x14ac:dyDescent="0.25">
      <c r="A261" s="10" t="s">
        <v>206</v>
      </c>
      <c r="B261" s="10">
        <v>814</v>
      </c>
      <c r="C261" s="10">
        <v>7</v>
      </c>
      <c r="D261" s="1">
        <v>44649</v>
      </c>
    </row>
    <row r="262" spans="1:4" x14ac:dyDescent="0.25">
      <c r="A262" s="10" t="s">
        <v>207</v>
      </c>
      <c r="B262" s="10">
        <v>1024</v>
      </c>
      <c r="C262" s="10">
        <v>8</v>
      </c>
      <c r="D262" s="1">
        <v>44649</v>
      </c>
    </row>
    <row r="263" spans="1:4" x14ac:dyDescent="0.25">
      <c r="A263" s="10" t="s">
        <v>208</v>
      </c>
      <c r="B263" s="10">
        <v>15618</v>
      </c>
      <c r="C263" s="10">
        <v>9</v>
      </c>
      <c r="D263" s="1">
        <v>44649</v>
      </c>
    </row>
    <row r="264" spans="1:4" x14ac:dyDescent="0.25">
      <c r="A264" s="10" t="s">
        <v>209</v>
      </c>
      <c r="B264" s="10">
        <v>9702</v>
      </c>
      <c r="C264" s="10">
        <v>10</v>
      </c>
      <c r="D264" s="1">
        <v>44649</v>
      </c>
    </row>
    <row r="265" spans="1:4" x14ac:dyDescent="0.25">
      <c r="A265" s="10" t="s">
        <v>210</v>
      </c>
      <c r="B265" s="10">
        <v>18420</v>
      </c>
      <c r="C265" s="10">
        <v>11</v>
      </c>
      <c r="D265" s="1">
        <v>44649</v>
      </c>
    </row>
    <row r="266" spans="1:4" x14ac:dyDescent="0.25">
      <c r="A266" s="10" t="s">
        <v>211</v>
      </c>
      <c r="B266" s="10">
        <v>21147</v>
      </c>
      <c r="C266" s="10">
        <v>12</v>
      </c>
      <c r="D266" s="1">
        <v>44649</v>
      </c>
    </row>
    <row r="267" spans="1:4" x14ac:dyDescent="0.25">
      <c r="A267" s="10" t="s">
        <v>212</v>
      </c>
      <c r="B267" s="10">
        <v>14473</v>
      </c>
      <c r="C267" s="10">
        <v>13</v>
      </c>
      <c r="D267" s="1">
        <v>44649</v>
      </c>
    </row>
    <row r="268" spans="1:4" x14ac:dyDescent="0.25">
      <c r="A268" s="10" t="s">
        <v>213</v>
      </c>
      <c r="B268" s="10">
        <v>28043</v>
      </c>
      <c r="C268" s="10">
        <v>14</v>
      </c>
      <c r="D268" s="1">
        <v>44649</v>
      </c>
    </row>
    <row r="269" spans="1:4" x14ac:dyDescent="0.25">
      <c r="A269" s="10" t="s">
        <v>214</v>
      </c>
      <c r="B269" s="10">
        <v>777</v>
      </c>
      <c r="C269" s="10">
        <v>15</v>
      </c>
      <c r="D269" s="1">
        <v>44649</v>
      </c>
    </row>
    <row r="270" spans="1:4" x14ac:dyDescent="0.25">
      <c r="A270" s="10" t="s">
        <v>215</v>
      </c>
      <c r="B270" s="10">
        <v>669</v>
      </c>
      <c r="C270" s="10">
        <v>16</v>
      </c>
      <c r="D270" s="1">
        <v>44649</v>
      </c>
    </row>
    <row r="271" spans="1:4" x14ac:dyDescent="0.25">
      <c r="A271" s="10" t="s">
        <v>216</v>
      </c>
      <c r="B271" s="10">
        <v>672</v>
      </c>
      <c r="C271" s="10">
        <v>17</v>
      </c>
      <c r="D271" s="1">
        <v>44649</v>
      </c>
    </row>
    <row r="272" spans="1:4" x14ac:dyDescent="0.25">
      <c r="A272" s="10" t="s">
        <v>217</v>
      </c>
      <c r="B272" s="10">
        <v>813</v>
      </c>
      <c r="C272" s="10">
        <v>18</v>
      </c>
      <c r="D272" s="1">
        <v>44649</v>
      </c>
    </row>
    <row r="273" spans="1:4" x14ac:dyDescent="0.25">
      <c r="A273" s="10" t="s">
        <v>218</v>
      </c>
      <c r="B273" s="10">
        <v>388</v>
      </c>
      <c r="C273" s="10">
        <v>19</v>
      </c>
      <c r="D273" s="1">
        <v>44649</v>
      </c>
    </row>
    <row r="274" spans="1:4" x14ac:dyDescent="0.25">
      <c r="A274" s="10" t="s">
        <v>219</v>
      </c>
      <c r="B274" s="10">
        <v>1067</v>
      </c>
      <c r="C274" s="10">
        <v>20</v>
      </c>
      <c r="D274" s="1">
        <v>44649</v>
      </c>
    </row>
    <row r="275" spans="1:4" x14ac:dyDescent="0.25">
      <c r="A275" s="10" t="s">
        <v>220</v>
      </c>
      <c r="B275" s="10">
        <v>1116</v>
      </c>
      <c r="C275" s="10">
        <v>21</v>
      </c>
      <c r="D275" s="1">
        <v>44649</v>
      </c>
    </row>
    <row r="276" spans="1:4" x14ac:dyDescent="0.25">
      <c r="A276" s="10" t="s">
        <v>221</v>
      </c>
      <c r="B276" s="10">
        <v>827</v>
      </c>
      <c r="C276" s="10">
        <v>22</v>
      </c>
      <c r="D276" s="1">
        <v>44649</v>
      </c>
    </row>
    <row r="277" spans="1:4" x14ac:dyDescent="0.25">
      <c r="A277" s="10" t="s">
        <v>222</v>
      </c>
      <c r="B277" s="10">
        <v>694</v>
      </c>
      <c r="C277" s="10">
        <v>23</v>
      </c>
      <c r="D277" s="1">
        <v>44649</v>
      </c>
    </row>
    <row r="278" spans="1:4" x14ac:dyDescent="0.25">
      <c r="A278" s="10" t="s">
        <v>223</v>
      </c>
      <c r="B278" s="10">
        <v>709</v>
      </c>
      <c r="C278" s="10">
        <v>24</v>
      </c>
      <c r="D278" s="1">
        <v>44649</v>
      </c>
    </row>
    <row r="279" spans="1:4" x14ac:dyDescent="0.25">
      <c r="A279" s="10" t="s">
        <v>224</v>
      </c>
      <c r="B279" s="10">
        <v>99</v>
      </c>
      <c r="C279" s="10">
        <v>25</v>
      </c>
      <c r="D279" s="1">
        <v>44649</v>
      </c>
    </row>
    <row r="280" spans="1:4" x14ac:dyDescent="0.25">
      <c r="A280" s="10" t="s">
        <v>225</v>
      </c>
      <c r="B280" s="10">
        <v>175</v>
      </c>
      <c r="C280" s="10">
        <v>26</v>
      </c>
      <c r="D280" s="1">
        <v>44649</v>
      </c>
    </row>
    <row r="281" spans="1:4" x14ac:dyDescent="0.25">
      <c r="A281" s="10" t="s">
        <v>226</v>
      </c>
      <c r="B281" s="10">
        <v>12</v>
      </c>
      <c r="C281" s="10">
        <v>27</v>
      </c>
      <c r="D281" s="1">
        <v>44649</v>
      </c>
    </row>
    <row r="282" spans="1:4" x14ac:dyDescent="0.25">
      <c r="A282" s="10" t="s">
        <v>227</v>
      </c>
      <c r="B282" s="10">
        <v>916</v>
      </c>
      <c r="C282" s="10">
        <v>28</v>
      </c>
      <c r="D282" s="1">
        <v>44649</v>
      </c>
    </row>
    <row r="283" spans="1:4" x14ac:dyDescent="0.25">
      <c r="A283" s="10" t="s">
        <v>290</v>
      </c>
      <c r="B283" s="10">
        <v>4</v>
      </c>
      <c r="C283" s="10">
        <v>29</v>
      </c>
      <c r="D283" s="1">
        <v>44649</v>
      </c>
    </row>
    <row r="284" spans="1:4" x14ac:dyDescent="0.25">
      <c r="A284" s="10" t="s">
        <v>228</v>
      </c>
      <c r="B284" s="10">
        <v>320</v>
      </c>
      <c r="C284" s="10">
        <v>30</v>
      </c>
      <c r="D284" s="1">
        <v>44649</v>
      </c>
    </row>
    <row r="285" spans="1:4" x14ac:dyDescent="0.25">
      <c r="A285" s="10" t="s">
        <v>229</v>
      </c>
      <c r="B285" s="10">
        <v>13</v>
      </c>
      <c r="C285" s="10">
        <v>31</v>
      </c>
      <c r="D285" s="1">
        <v>44649</v>
      </c>
    </row>
    <row r="286" spans="1:4" x14ac:dyDescent="0.25">
      <c r="A286" s="10" t="s">
        <v>230</v>
      </c>
      <c r="B286" s="10">
        <v>299</v>
      </c>
      <c r="C286" s="10">
        <v>32</v>
      </c>
      <c r="D286" s="1">
        <v>44649</v>
      </c>
    </row>
    <row r="287" spans="1:4" x14ac:dyDescent="0.25">
      <c r="A287" s="10" t="s">
        <v>231</v>
      </c>
      <c r="B287" s="10">
        <v>1</v>
      </c>
      <c r="C287" s="10">
        <v>33</v>
      </c>
      <c r="D287" s="1">
        <v>44649</v>
      </c>
    </row>
    <row r="288" spans="1:4" x14ac:dyDescent="0.25">
      <c r="A288" s="10" t="s">
        <v>232</v>
      </c>
      <c r="B288" s="10">
        <v>14</v>
      </c>
      <c r="C288" s="10">
        <v>34</v>
      </c>
      <c r="D288" s="1">
        <v>44649</v>
      </c>
    </row>
    <row r="289" spans="1:4" x14ac:dyDescent="0.25">
      <c r="A289" s="10" t="s">
        <v>233</v>
      </c>
      <c r="B289" s="10">
        <v>9</v>
      </c>
      <c r="C289" s="10">
        <v>35</v>
      </c>
      <c r="D289" s="1">
        <v>44649</v>
      </c>
    </row>
    <row r="290" spans="1:4" x14ac:dyDescent="0.25">
      <c r="A290" s="10" t="s">
        <v>234</v>
      </c>
      <c r="B290" s="10">
        <v>42</v>
      </c>
      <c r="C290" s="10">
        <v>36</v>
      </c>
      <c r="D290" s="1">
        <v>44649</v>
      </c>
    </row>
    <row r="291" spans="1:4" x14ac:dyDescent="0.25">
      <c r="A291" s="10" t="s">
        <v>235</v>
      </c>
      <c r="B291" s="10">
        <v>47</v>
      </c>
      <c r="C291" s="10">
        <v>37</v>
      </c>
      <c r="D291" s="1">
        <v>44649</v>
      </c>
    </row>
    <row r="292" spans="1:4" x14ac:dyDescent="0.25">
      <c r="A292" s="10" t="s">
        <v>236</v>
      </c>
      <c r="B292" s="10">
        <v>22</v>
      </c>
      <c r="C292" s="10">
        <v>38</v>
      </c>
      <c r="D292" s="1">
        <v>44649</v>
      </c>
    </row>
    <row r="293" spans="1:4" x14ac:dyDescent="0.25">
      <c r="A293" s="10" t="s">
        <v>237</v>
      </c>
      <c r="B293" s="10">
        <v>136</v>
      </c>
      <c r="C293" s="10">
        <v>39</v>
      </c>
      <c r="D293" s="1">
        <v>44649</v>
      </c>
    </row>
    <row r="294" spans="1:4" x14ac:dyDescent="0.25">
      <c r="A294" s="10" t="s">
        <v>238</v>
      </c>
      <c r="B294" s="10">
        <v>74</v>
      </c>
      <c r="C294" s="10">
        <v>40</v>
      </c>
      <c r="D294" s="1">
        <v>44649</v>
      </c>
    </row>
    <row r="295" spans="1:4" x14ac:dyDescent="0.25">
      <c r="A295" s="10" t="s">
        <v>239</v>
      </c>
      <c r="B295" s="10">
        <v>28</v>
      </c>
      <c r="C295" s="10">
        <v>41</v>
      </c>
      <c r="D295" s="1">
        <v>44649</v>
      </c>
    </row>
    <row r="296" spans="1:4" x14ac:dyDescent="0.25">
      <c r="A296" s="10" t="s">
        <v>240</v>
      </c>
      <c r="B296" s="10">
        <v>6</v>
      </c>
      <c r="C296" s="10">
        <v>42</v>
      </c>
      <c r="D296" s="1">
        <v>44649</v>
      </c>
    </row>
    <row r="297" spans="1:4" x14ac:dyDescent="0.25">
      <c r="A297" s="10" t="s">
        <v>241</v>
      </c>
      <c r="B297" s="10">
        <v>108</v>
      </c>
      <c r="C297" s="10">
        <v>43</v>
      </c>
      <c r="D297" s="1">
        <v>44649</v>
      </c>
    </row>
    <row r="298" spans="1:4" x14ac:dyDescent="0.25">
      <c r="A298" s="10" t="s">
        <v>242</v>
      </c>
      <c r="B298" s="10">
        <v>67</v>
      </c>
      <c r="C298" s="10">
        <v>44</v>
      </c>
      <c r="D298" s="1">
        <v>44649</v>
      </c>
    </row>
    <row r="299" spans="1:4" x14ac:dyDescent="0.25">
      <c r="A299" s="10" t="s">
        <v>243</v>
      </c>
      <c r="B299" s="10">
        <v>20</v>
      </c>
      <c r="C299" s="10">
        <v>45</v>
      </c>
      <c r="D299" s="1">
        <v>44649</v>
      </c>
    </row>
    <row r="300" spans="1:4" x14ac:dyDescent="0.25">
      <c r="A300" s="10" t="s">
        <v>244</v>
      </c>
      <c r="B300" s="10">
        <v>40</v>
      </c>
      <c r="C300" s="10">
        <v>46</v>
      </c>
      <c r="D300" s="1">
        <v>44649</v>
      </c>
    </row>
    <row r="301" spans="1:4" x14ac:dyDescent="0.25">
      <c r="A301" s="10" t="s">
        <v>245</v>
      </c>
      <c r="B301" s="10">
        <v>19</v>
      </c>
      <c r="C301" s="10">
        <v>47</v>
      </c>
      <c r="D301" s="1">
        <v>44649</v>
      </c>
    </row>
    <row r="302" spans="1:4" x14ac:dyDescent="0.25">
      <c r="A302" s="10" t="s">
        <v>246</v>
      </c>
      <c r="B302" s="10">
        <v>4</v>
      </c>
      <c r="C302" s="10">
        <v>48</v>
      </c>
      <c r="D302" s="1">
        <v>44649</v>
      </c>
    </row>
    <row r="303" spans="1:4" x14ac:dyDescent="0.25">
      <c r="A303" s="10" t="s">
        <v>247</v>
      </c>
      <c r="B303" s="10">
        <v>58</v>
      </c>
      <c r="C303" s="10">
        <v>49</v>
      </c>
      <c r="D303" s="1">
        <v>44649</v>
      </c>
    </row>
    <row r="304" spans="1:4" x14ac:dyDescent="0.25">
      <c r="A304" s="10" t="s">
        <v>248</v>
      </c>
      <c r="B304" s="10">
        <v>120</v>
      </c>
      <c r="C304" s="10">
        <v>50</v>
      </c>
      <c r="D304" s="1">
        <v>44649</v>
      </c>
    </row>
    <row r="305" spans="1:15" x14ac:dyDescent="0.25">
      <c r="A305" s="10" t="s">
        <v>249</v>
      </c>
      <c r="B305" s="10">
        <v>69</v>
      </c>
      <c r="C305" s="10">
        <v>51</v>
      </c>
      <c r="D305" s="1">
        <v>44649</v>
      </c>
    </row>
    <row r="306" spans="1:15" x14ac:dyDescent="0.25">
      <c r="A306" s="10" t="s">
        <v>250</v>
      </c>
      <c r="B306" s="10">
        <v>19</v>
      </c>
      <c r="C306" s="10">
        <v>52</v>
      </c>
      <c r="D306" s="1">
        <v>44649</v>
      </c>
    </row>
    <row r="307" spans="1:15" x14ac:dyDescent="0.25">
      <c r="A307" s="10" t="s">
        <v>251</v>
      </c>
      <c r="B307" s="10">
        <v>36</v>
      </c>
      <c r="C307" s="10">
        <v>53</v>
      </c>
      <c r="D307" s="1">
        <v>44649</v>
      </c>
    </row>
    <row r="308" spans="1:15" x14ac:dyDescent="0.25">
      <c r="A308" s="10" t="s">
        <v>252</v>
      </c>
      <c r="B308" s="10">
        <v>64</v>
      </c>
      <c r="C308" s="10">
        <v>54</v>
      </c>
      <c r="D308" s="1">
        <v>44649</v>
      </c>
    </row>
    <row r="309" spans="1:15" x14ac:dyDescent="0.25">
      <c r="A309" s="10" t="s">
        <v>253</v>
      </c>
      <c r="B309" s="10">
        <v>54</v>
      </c>
      <c r="C309" s="10">
        <v>55</v>
      </c>
      <c r="D309" s="1">
        <v>44649</v>
      </c>
    </row>
    <row r="310" spans="1:15" x14ac:dyDescent="0.25">
      <c r="A310" s="10" t="s">
        <v>254</v>
      </c>
      <c r="B310" s="10">
        <v>59</v>
      </c>
      <c r="C310" s="10">
        <v>56</v>
      </c>
      <c r="D310" s="1">
        <v>44649</v>
      </c>
    </row>
    <row r="311" spans="1:15" x14ac:dyDescent="0.25">
      <c r="A311" s="10" t="s">
        <v>255</v>
      </c>
      <c r="B311" s="10">
        <v>345</v>
      </c>
      <c r="C311" s="10">
        <v>57</v>
      </c>
      <c r="D311" s="1">
        <v>44649</v>
      </c>
    </row>
    <row r="312" spans="1:15" x14ac:dyDescent="0.25">
      <c r="A312" s="10" t="s">
        <v>256</v>
      </c>
      <c r="B312" s="10">
        <v>292</v>
      </c>
      <c r="C312" s="10">
        <v>58</v>
      </c>
      <c r="D312" s="1">
        <v>44649</v>
      </c>
    </row>
    <row r="313" spans="1:15" x14ac:dyDescent="0.25">
      <c r="A313" s="10" t="s">
        <v>257</v>
      </c>
      <c r="B313" s="10">
        <v>479</v>
      </c>
      <c r="C313" s="10">
        <v>59</v>
      </c>
      <c r="D313" s="1">
        <v>44649</v>
      </c>
      <c r="M313" s="12"/>
      <c r="N313" s="12"/>
      <c r="O313" s="12"/>
    </row>
    <row r="314" spans="1:15" x14ac:dyDescent="0.25">
      <c r="A314" s="10" t="s">
        <v>258</v>
      </c>
      <c r="B314" s="10">
        <v>0</v>
      </c>
      <c r="C314" s="10">
        <v>60</v>
      </c>
      <c r="D314" s="1">
        <v>44649</v>
      </c>
    </row>
    <row r="315" spans="1:15" x14ac:dyDescent="0.25">
      <c r="A315" s="10" t="s">
        <v>259</v>
      </c>
      <c r="B315" s="10">
        <v>304</v>
      </c>
      <c r="C315" s="10">
        <v>61</v>
      </c>
      <c r="D315" s="1">
        <v>44649</v>
      </c>
    </row>
    <row r="316" spans="1:15" x14ac:dyDescent="0.25">
      <c r="A316" s="10" t="s">
        <v>260</v>
      </c>
      <c r="B316" s="10">
        <v>0</v>
      </c>
      <c r="C316" s="10">
        <v>62</v>
      </c>
      <c r="D316" s="1">
        <v>44649</v>
      </c>
    </row>
    <row r="317" spans="1:15" x14ac:dyDescent="0.25">
      <c r="A317" s="10" t="s">
        <v>261</v>
      </c>
      <c r="B317" s="10">
        <v>0</v>
      </c>
      <c r="C317" s="10">
        <v>63</v>
      </c>
      <c r="D317" s="1">
        <v>44649</v>
      </c>
    </row>
    <row r="318" spans="1:15" x14ac:dyDescent="0.25">
      <c r="A318" s="10" t="s">
        <v>262</v>
      </c>
      <c r="B318" s="10">
        <v>433</v>
      </c>
      <c r="C318" s="10">
        <v>64</v>
      </c>
      <c r="D318" s="1">
        <v>44649</v>
      </c>
    </row>
    <row r="319" spans="1:15" x14ac:dyDescent="0.25">
      <c r="A319" s="10" t="s">
        <v>263</v>
      </c>
      <c r="B319" s="10">
        <v>0</v>
      </c>
      <c r="C319" s="10">
        <v>65</v>
      </c>
      <c r="D319" s="1">
        <v>44649</v>
      </c>
    </row>
    <row r="320" spans="1:15" x14ac:dyDescent="0.25">
      <c r="A320" s="10" t="s">
        <v>264</v>
      </c>
      <c r="B320" s="10">
        <v>0</v>
      </c>
      <c r="C320" s="10">
        <v>66</v>
      </c>
      <c r="D320" s="1">
        <v>44649</v>
      </c>
    </row>
    <row r="321" spans="1:15" x14ac:dyDescent="0.25">
      <c r="A321" s="10" t="s">
        <v>265</v>
      </c>
      <c r="B321" s="10">
        <v>0</v>
      </c>
      <c r="C321" s="10">
        <v>67</v>
      </c>
      <c r="D321" s="1">
        <v>44649</v>
      </c>
      <c r="M321" s="12"/>
      <c r="N321" s="12"/>
      <c r="O321" s="12"/>
    </row>
    <row r="322" spans="1:15" x14ac:dyDescent="0.25">
      <c r="A322" s="10" t="s">
        <v>266</v>
      </c>
      <c r="B322" s="10">
        <v>0</v>
      </c>
      <c r="C322" s="10">
        <v>68</v>
      </c>
      <c r="D322" s="1">
        <v>44649</v>
      </c>
    </row>
    <row r="323" spans="1:15" x14ac:dyDescent="0.25">
      <c r="A323" s="10" t="s">
        <v>267</v>
      </c>
      <c r="B323" s="10">
        <v>0</v>
      </c>
      <c r="C323" s="10">
        <v>69</v>
      </c>
      <c r="D323" s="1">
        <v>44649</v>
      </c>
    </row>
    <row r="324" spans="1:15" x14ac:dyDescent="0.25">
      <c r="A324" s="10" t="s">
        <v>268</v>
      </c>
      <c r="B324" s="10">
        <v>0</v>
      </c>
      <c r="C324" s="10">
        <v>70</v>
      </c>
      <c r="D324" s="1">
        <v>44649</v>
      </c>
    </row>
    <row r="325" spans="1:15" x14ac:dyDescent="0.25">
      <c r="A325" s="10" t="s">
        <v>269</v>
      </c>
      <c r="B325" s="10">
        <v>0</v>
      </c>
      <c r="C325" s="10">
        <v>71</v>
      </c>
      <c r="D325" s="1">
        <v>44649</v>
      </c>
    </row>
    <row r="326" spans="1:15" x14ac:dyDescent="0.25">
      <c r="A326" s="10" t="s">
        <v>270</v>
      </c>
      <c r="B326" s="10">
        <v>0</v>
      </c>
      <c r="C326" s="10">
        <v>72</v>
      </c>
      <c r="D326" s="1">
        <v>44649</v>
      </c>
    </row>
    <row r="327" spans="1:15" x14ac:dyDescent="0.25">
      <c r="A327" s="10" t="s">
        <v>271</v>
      </c>
      <c r="B327" s="10">
        <v>0</v>
      </c>
      <c r="C327" s="10">
        <v>73</v>
      </c>
      <c r="D327" s="1">
        <v>44649</v>
      </c>
    </row>
    <row r="328" spans="1:15" x14ac:dyDescent="0.25">
      <c r="A328" s="10" t="s">
        <v>272</v>
      </c>
      <c r="B328" s="10">
        <v>0</v>
      </c>
      <c r="C328" s="10">
        <v>74</v>
      </c>
      <c r="D328" s="1">
        <v>44649</v>
      </c>
    </row>
    <row r="329" spans="1:15" x14ac:dyDescent="0.25">
      <c r="A329" s="10" t="s">
        <v>273</v>
      </c>
      <c r="B329" s="10">
        <v>0</v>
      </c>
      <c r="C329" s="10">
        <v>75</v>
      </c>
      <c r="D329" s="1">
        <v>44649</v>
      </c>
    </row>
    <row r="330" spans="1:15" x14ac:dyDescent="0.25">
      <c r="A330" s="10" t="s">
        <v>274</v>
      </c>
      <c r="B330" s="10">
        <v>87</v>
      </c>
      <c r="C330" s="10">
        <v>76</v>
      </c>
      <c r="D330" s="1">
        <v>44649</v>
      </c>
    </row>
    <row r="331" spans="1:15" x14ac:dyDescent="0.25">
      <c r="A331" s="10" t="s">
        <v>275</v>
      </c>
      <c r="B331" s="10">
        <v>41</v>
      </c>
      <c r="C331" s="10">
        <v>77</v>
      </c>
      <c r="D331" s="1">
        <v>44649</v>
      </c>
    </row>
    <row r="332" spans="1:15" x14ac:dyDescent="0.25">
      <c r="A332" s="10" t="s">
        <v>276</v>
      </c>
      <c r="B332" s="10">
        <v>0</v>
      </c>
      <c r="C332" s="10">
        <v>78</v>
      </c>
      <c r="D332" s="1">
        <v>44649</v>
      </c>
    </row>
    <row r="333" spans="1:15" x14ac:dyDescent="0.25">
      <c r="A333" s="10" t="s">
        <v>277</v>
      </c>
      <c r="B333" s="10">
        <v>0</v>
      </c>
      <c r="C333" s="10">
        <v>79</v>
      </c>
      <c r="D333" s="1">
        <v>44649</v>
      </c>
    </row>
    <row r="334" spans="1:15" x14ac:dyDescent="0.25">
      <c r="A334" s="10" t="s">
        <v>278</v>
      </c>
      <c r="B334" s="10">
        <v>0</v>
      </c>
      <c r="C334" s="10">
        <v>80</v>
      </c>
      <c r="D334" s="1">
        <v>44649</v>
      </c>
    </row>
    <row r="335" spans="1:15" x14ac:dyDescent="0.25">
      <c r="A335" s="10" t="s">
        <v>279</v>
      </c>
      <c r="B335" s="10">
        <v>0</v>
      </c>
      <c r="C335" s="10">
        <v>81</v>
      </c>
      <c r="D335" s="1">
        <v>44649</v>
      </c>
    </row>
    <row r="336" spans="1:15" x14ac:dyDescent="0.25">
      <c r="A336" s="10" t="s">
        <v>280</v>
      </c>
      <c r="B336" s="10">
        <v>973</v>
      </c>
      <c r="C336" s="10">
        <v>82</v>
      </c>
      <c r="D336" s="1">
        <v>44649</v>
      </c>
    </row>
    <row r="337" spans="1:4" x14ac:dyDescent="0.25">
      <c r="A337" s="10" t="s">
        <v>281</v>
      </c>
      <c r="B337" s="10">
        <v>1710</v>
      </c>
      <c r="C337" s="10">
        <v>83</v>
      </c>
      <c r="D337" s="1">
        <v>44649</v>
      </c>
    </row>
    <row r="338" spans="1:4" x14ac:dyDescent="0.25">
      <c r="A338" s="10" t="s">
        <v>282</v>
      </c>
      <c r="B338" s="10">
        <v>128</v>
      </c>
      <c r="C338" s="10">
        <v>84</v>
      </c>
      <c r="D338" s="1">
        <v>44649</v>
      </c>
    </row>
    <row r="339" spans="1:4" x14ac:dyDescent="0.25">
      <c r="A339" s="10" t="s">
        <v>279</v>
      </c>
      <c r="B339" s="10">
        <v>0</v>
      </c>
      <c r="C339" s="10">
        <v>85</v>
      </c>
      <c r="D339" s="1">
        <v>44649</v>
      </c>
    </row>
    <row r="374" spans="13:15" x14ac:dyDescent="0.25">
      <c r="M374" s="12"/>
      <c r="N374" s="12"/>
      <c r="O374" s="12"/>
    </row>
    <row r="397" spans="13:15" x14ac:dyDescent="0.25">
      <c r="M397" s="12"/>
      <c r="N397" s="12"/>
      <c r="O397" s="12"/>
    </row>
    <row r="406" spans="13:15" x14ac:dyDescent="0.25">
      <c r="N406" s="12"/>
    </row>
    <row r="411" spans="13:15" x14ac:dyDescent="0.25">
      <c r="N411" s="12"/>
      <c r="O411" s="12"/>
    </row>
    <row r="415" spans="13:15" x14ac:dyDescent="0.25">
      <c r="M415" s="12"/>
      <c r="N415" s="12"/>
      <c r="O415" s="12"/>
    </row>
    <row r="418" spans="13:15" x14ac:dyDescent="0.25">
      <c r="N418" s="12"/>
      <c r="O418" s="12"/>
    </row>
    <row r="422" spans="13:15" x14ac:dyDescent="0.25">
      <c r="M422" s="12"/>
      <c r="N422" s="12"/>
      <c r="O422" s="12"/>
    </row>
    <row r="427" spans="13:15" x14ac:dyDescent="0.25">
      <c r="M427" s="12"/>
      <c r="N427" s="12"/>
      <c r="O427" s="12"/>
    </row>
    <row r="428" spans="13:15" x14ac:dyDescent="0.25">
      <c r="M428" s="12"/>
      <c r="N428" s="12"/>
    </row>
    <row r="430" spans="13:15" x14ac:dyDescent="0.25">
      <c r="M430" s="12"/>
      <c r="N430" s="12"/>
    </row>
    <row r="431" spans="13:15" x14ac:dyDescent="0.25">
      <c r="M431" s="12"/>
    </row>
    <row r="436" spans="13:15" x14ac:dyDescent="0.25">
      <c r="M436" s="12"/>
      <c r="N436" s="12"/>
      <c r="O436" s="12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AFF7BBA-16EB-4C6F-81A7-438EDC39AF3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Email_Generation</vt:lpstr>
      <vt:lpstr>DB_TO_EXCEL</vt:lpstr>
      <vt:lpstr>Email_List</vt:lpstr>
      <vt:lpstr>Dates</vt:lpstr>
      <vt:lpstr>Selections</vt:lpstr>
      <vt:lpstr>SQL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Skura, Wojciech</dc:creator>
  <cp:lastModifiedBy>Dean</cp:lastModifiedBy>
  <cp:lastPrinted>2022-07-10T09:46:12Z</cp:lastPrinted>
  <dcterms:created xsi:type="dcterms:W3CDTF">2015-06-05T18:17:20Z</dcterms:created>
  <dcterms:modified xsi:type="dcterms:W3CDTF">2022-10-17T08:33:51Z</dcterms:modified>
</cp:coreProperties>
</file>